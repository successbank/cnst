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DD1\김영건 개인폴더\#관리관련\#홈페이지개발_2024년\단중표\"/>
    </mc:Choice>
  </mc:AlternateContent>
  <xr:revisionPtr revIDLastSave="0" documentId="8_{12ECE681-F660-4024-88AE-1940237CF757}" xr6:coauthVersionLast="47" xr6:coauthVersionMax="47" xr10:uidLastSave="{00000000-0000-0000-0000-000000000000}"/>
  <bookViews>
    <workbookView xWindow="-120" yWindow="-21720" windowWidth="38640" windowHeight="21120" xr2:uid="{E4A91ACE-9DC7-4281-91CF-BEE9FC447A34}"/>
  </bookViews>
  <sheets>
    <sheet name="Sheet1" sheetId="1" r:id="rId1"/>
  </sheets>
  <definedNames>
    <definedName name="_xlnm.Print_Area" localSheetId="0">Sheet1!$B$3:$AM$65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65" i="1" l="1"/>
  <c r="AH65" i="1"/>
  <c r="AE65" i="1"/>
  <c r="AB65" i="1"/>
  <c r="Y65" i="1"/>
  <c r="V65" i="1"/>
  <c r="R65" i="1"/>
  <c r="O65" i="1"/>
  <c r="L65" i="1"/>
  <c r="I65" i="1"/>
  <c r="F65" i="1"/>
  <c r="C65" i="1"/>
  <c r="AK64" i="1"/>
  <c r="AH64" i="1"/>
  <c r="AE64" i="1"/>
  <c r="AB64" i="1"/>
  <c r="Y64" i="1"/>
  <c r="V64" i="1"/>
  <c r="R64" i="1"/>
  <c r="O64" i="1"/>
  <c r="L64" i="1"/>
  <c r="I64" i="1"/>
  <c r="F64" i="1"/>
  <c r="C64" i="1"/>
  <c r="AK63" i="1"/>
  <c r="AH63" i="1"/>
  <c r="AE63" i="1"/>
  <c r="AB63" i="1"/>
  <c r="Y63" i="1"/>
  <c r="V63" i="1"/>
  <c r="R63" i="1"/>
  <c r="O63" i="1"/>
  <c r="L63" i="1"/>
  <c r="I63" i="1"/>
  <c r="F63" i="1"/>
  <c r="C63" i="1"/>
  <c r="AK62" i="1"/>
  <c r="AH62" i="1"/>
  <c r="AE62" i="1"/>
  <c r="AB62" i="1"/>
  <c r="Y62" i="1"/>
  <c r="V62" i="1"/>
  <c r="R62" i="1"/>
  <c r="O62" i="1"/>
  <c r="L62" i="1"/>
  <c r="I62" i="1"/>
  <c r="F62" i="1"/>
  <c r="C62" i="1"/>
  <c r="AK61" i="1"/>
  <c r="AH61" i="1"/>
  <c r="AE61" i="1"/>
  <c r="AB61" i="1"/>
  <c r="Y61" i="1"/>
  <c r="V61" i="1"/>
  <c r="R61" i="1"/>
  <c r="O61" i="1"/>
  <c r="L61" i="1"/>
  <c r="I61" i="1"/>
  <c r="F61" i="1"/>
  <c r="C61" i="1"/>
  <c r="AK60" i="1"/>
  <c r="AH60" i="1"/>
  <c r="AE60" i="1"/>
  <c r="AB60" i="1"/>
  <c r="Y60" i="1"/>
  <c r="V60" i="1"/>
  <c r="R60" i="1"/>
  <c r="O60" i="1"/>
  <c r="L60" i="1"/>
  <c r="I60" i="1"/>
  <c r="F60" i="1"/>
  <c r="C60" i="1"/>
  <c r="AK59" i="1"/>
  <c r="AH59" i="1"/>
  <c r="AE59" i="1"/>
  <c r="AB59" i="1"/>
  <c r="Y59" i="1"/>
  <c r="V59" i="1"/>
  <c r="R59" i="1"/>
  <c r="O59" i="1"/>
  <c r="L59" i="1"/>
  <c r="I59" i="1"/>
  <c r="F59" i="1"/>
  <c r="C59" i="1"/>
  <c r="AK58" i="1"/>
  <c r="AH58" i="1"/>
  <c r="AE58" i="1"/>
  <c r="AB58" i="1"/>
  <c r="Y58" i="1"/>
  <c r="V58" i="1"/>
  <c r="R58" i="1"/>
  <c r="O58" i="1"/>
  <c r="L58" i="1"/>
  <c r="I58" i="1"/>
  <c r="F58" i="1"/>
  <c r="C58" i="1"/>
  <c r="AK57" i="1"/>
  <c r="AH57" i="1"/>
  <c r="AE57" i="1"/>
  <c r="AB57" i="1"/>
  <c r="Y57" i="1"/>
  <c r="V57" i="1"/>
  <c r="R57" i="1"/>
  <c r="O57" i="1"/>
  <c r="L57" i="1"/>
  <c r="I57" i="1"/>
  <c r="F57" i="1"/>
  <c r="C57" i="1"/>
  <c r="AK56" i="1"/>
  <c r="AH56" i="1"/>
  <c r="AE56" i="1"/>
  <c r="AB56" i="1"/>
  <c r="Y56" i="1"/>
  <c r="V56" i="1"/>
  <c r="R56" i="1"/>
  <c r="O56" i="1"/>
  <c r="L56" i="1"/>
  <c r="I56" i="1"/>
  <c r="F56" i="1"/>
  <c r="C56" i="1"/>
  <c r="AK55" i="1"/>
  <c r="AH55" i="1"/>
  <c r="AE55" i="1"/>
  <c r="AB55" i="1"/>
  <c r="Y55" i="1"/>
  <c r="V55" i="1"/>
  <c r="R55" i="1"/>
  <c r="O55" i="1"/>
  <c r="L55" i="1"/>
  <c r="I55" i="1"/>
  <c r="F55" i="1"/>
  <c r="C55" i="1"/>
  <c r="AK54" i="1"/>
  <c r="AH54" i="1"/>
  <c r="AE54" i="1"/>
  <c r="AB54" i="1"/>
  <c r="Y54" i="1"/>
  <c r="V54" i="1"/>
  <c r="R54" i="1"/>
  <c r="O54" i="1"/>
  <c r="L54" i="1"/>
  <c r="I54" i="1"/>
  <c r="F54" i="1"/>
  <c r="C54" i="1"/>
  <c r="AK53" i="1"/>
  <c r="AH53" i="1"/>
  <c r="AE53" i="1"/>
  <c r="AB53" i="1"/>
  <c r="Y53" i="1"/>
  <c r="V53" i="1"/>
  <c r="R53" i="1"/>
  <c r="O53" i="1"/>
  <c r="L53" i="1"/>
  <c r="I53" i="1"/>
  <c r="F53" i="1"/>
  <c r="C53" i="1"/>
  <c r="AK52" i="1"/>
  <c r="AH52" i="1"/>
  <c r="AE52" i="1"/>
  <c r="AB52" i="1"/>
  <c r="Y52" i="1"/>
  <c r="V52" i="1"/>
  <c r="R52" i="1"/>
  <c r="O52" i="1"/>
  <c r="L52" i="1"/>
  <c r="I52" i="1"/>
  <c r="F52" i="1"/>
  <c r="C52" i="1"/>
  <c r="AK51" i="1"/>
  <c r="AH51" i="1"/>
  <c r="AE51" i="1"/>
  <c r="AB51" i="1"/>
  <c r="Y51" i="1"/>
  <c r="V51" i="1"/>
  <c r="R51" i="1"/>
  <c r="O51" i="1"/>
  <c r="L51" i="1"/>
  <c r="I51" i="1"/>
  <c r="F51" i="1"/>
  <c r="C51" i="1"/>
  <c r="AK50" i="1"/>
  <c r="AH50" i="1"/>
  <c r="AE50" i="1"/>
  <c r="AB50" i="1"/>
  <c r="Y50" i="1"/>
  <c r="V50" i="1"/>
  <c r="R50" i="1"/>
  <c r="O50" i="1"/>
  <c r="L50" i="1"/>
  <c r="I50" i="1"/>
  <c r="F50" i="1"/>
  <c r="C50" i="1"/>
  <c r="AK49" i="1"/>
  <c r="AH49" i="1"/>
  <c r="AE49" i="1"/>
  <c r="AB49" i="1"/>
  <c r="Y49" i="1"/>
  <c r="V49" i="1"/>
  <c r="R49" i="1"/>
  <c r="O49" i="1"/>
  <c r="L49" i="1"/>
  <c r="I49" i="1"/>
  <c r="F49" i="1"/>
  <c r="C49" i="1"/>
  <c r="AK48" i="1"/>
  <c r="AH48" i="1"/>
  <c r="AE48" i="1"/>
  <c r="AB48" i="1"/>
  <c r="Y48" i="1"/>
  <c r="V48" i="1"/>
  <c r="R48" i="1"/>
  <c r="O48" i="1"/>
  <c r="L48" i="1"/>
  <c r="I48" i="1"/>
  <c r="F48" i="1"/>
  <c r="C48" i="1"/>
  <c r="AK47" i="1"/>
  <c r="AH47" i="1"/>
  <c r="AE47" i="1"/>
  <c r="AB47" i="1"/>
  <c r="Y47" i="1"/>
  <c r="V47" i="1"/>
  <c r="R47" i="1"/>
  <c r="O47" i="1"/>
  <c r="L47" i="1"/>
  <c r="I47" i="1"/>
  <c r="F47" i="1"/>
  <c r="C47" i="1"/>
  <c r="AK46" i="1"/>
  <c r="AH46" i="1"/>
  <c r="AE46" i="1"/>
  <c r="AB46" i="1"/>
  <c r="Y46" i="1"/>
  <c r="V46" i="1"/>
  <c r="R46" i="1"/>
  <c r="O46" i="1"/>
  <c r="L46" i="1"/>
  <c r="I46" i="1"/>
  <c r="F46" i="1"/>
  <c r="C46" i="1"/>
  <c r="AK45" i="1"/>
  <c r="AH45" i="1"/>
  <c r="AE45" i="1"/>
  <c r="AB45" i="1"/>
  <c r="Y45" i="1"/>
  <c r="V45" i="1"/>
  <c r="R45" i="1"/>
  <c r="O45" i="1"/>
  <c r="L45" i="1"/>
  <c r="I45" i="1"/>
  <c r="F45" i="1"/>
  <c r="C45" i="1"/>
  <c r="AK44" i="1"/>
  <c r="AH44" i="1"/>
  <c r="AE44" i="1"/>
  <c r="AB44" i="1"/>
  <c r="Y44" i="1"/>
  <c r="V44" i="1"/>
  <c r="R44" i="1"/>
  <c r="O44" i="1"/>
  <c r="L44" i="1"/>
  <c r="I44" i="1"/>
  <c r="F44" i="1"/>
  <c r="C44" i="1"/>
  <c r="AK43" i="1"/>
  <c r="AH43" i="1"/>
  <c r="AE43" i="1"/>
  <c r="AB43" i="1"/>
  <c r="Y43" i="1"/>
  <c r="V43" i="1"/>
  <c r="R43" i="1"/>
  <c r="O43" i="1"/>
  <c r="L43" i="1"/>
  <c r="I43" i="1"/>
  <c r="F43" i="1"/>
  <c r="C43" i="1"/>
  <c r="AK42" i="1"/>
  <c r="AH42" i="1"/>
  <c r="AE42" i="1"/>
  <c r="AB42" i="1"/>
  <c r="Y42" i="1"/>
  <c r="V42" i="1"/>
  <c r="R42" i="1"/>
  <c r="O42" i="1"/>
  <c r="L42" i="1"/>
  <c r="I42" i="1"/>
  <c r="F42" i="1"/>
  <c r="C42" i="1"/>
  <c r="AK41" i="1"/>
  <c r="AH41" i="1"/>
  <c r="AE41" i="1"/>
  <c r="AB41" i="1"/>
  <c r="Y41" i="1"/>
  <c r="V41" i="1"/>
  <c r="R41" i="1"/>
  <c r="O41" i="1"/>
  <c r="L41" i="1"/>
  <c r="I41" i="1"/>
  <c r="F41" i="1"/>
  <c r="C41" i="1"/>
  <c r="AK40" i="1"/>
  <c r="AH40" i="1"/>
  <c r="AE40" i="1"/>
  <c r="AB40" i="1"/>
  <c r="Y40" i="1"/>
  <c r="V40" i="1"/>
  <c r="R40" i="1"/>
  <c r="O40" i="1"/>
  <c r="L40" i="1"/>
  <c r="I40" i="1"/>
  <c r="F40" i="1"/>
  <c r="C40" i="1"/>
  <c r="AK39" i="1"/>
  <c r="AH39" i="1"/>
  <c r="AE39" i="1"/>
  <c r="AB39" i="1"/>
  <c r="Y39" i="1"/>
  <c r="V39" i="1"/>
  <c r="R39" i="1"/>
  <c r="O39" i="1"/>
  <c r="L39" i="1"/>
  <c r="I39" i="1"/>
  <c r="F39" i="1"/>
  <c r="C39" i="1"/>
  <c r="AK38" i="1"/>
  <c r="AH38" i="1"/>
  <c r="AE38" i="1"/>
  <c r="AB38" i="1"/>
  <c r="Y38" i="1"/>
  <c r="V38" i="1"/>
  <c r="R38" i="1"/>
  <c r="O38" i="1"/>
  <c r="L38" i="1"/>
  <c r="I38" i="1"/>
  <c r="F38" i="1"/>
  <c r="C38" i="1"/>
  <c r="AK37" i="1"/>
  <c r="AH37" i="1"/>
  <c r="AE37" i="1"/>
  <c r="AB37" i="1"/>
  <c r="Y37" i="1"/>
  <c r="V37" i="1"/>
  <c r="R37" i="1"/>
  <c r="O37" i="1"/>
  <c r="L37" i="1"/>
  <c r="I37" i="1"/>
  <c r="F37" i="1"/>
  <c r="C37" i="1"/>
  <c r="AK36" i="1"/>
  <c r="AH36" i="1"/>
  <c r="AE36" i="1"/>
  <c r="AB36" i="1"/>
  <c r="Y36" i="1"/>
  <c r="V36" i="1"/>
  <c r="R36" i="1"/>
  <c r="O36" i="1"/>
  <c r="L36" i="1"/>
  <c r="I36" i="1"/>
  <c r="F36" i="1"/>
  <c r="C36" i="1"/>
  <c r="AK35" i="1"/>
  <c r="AH35" i="1"/>
  <c r="AE35" i="1"/>
  <c r="AB35" i="1"/>
  <c r="Y35" i="1"/>
  <c r="V35" i="1"/>
  <c r="R35" i="1"/>
  <c r="O35" i="1"/>
  <c r="L35" i="1"/>
  <c r="I35" i="1"/>
  <c r="F35" i="1"/>
  <c r="C35" i="1"/>
  <c r="AK34" i="1"/>
  <c r="AH34" i="1"/>
  <c r="AE34" i="1"/>
  <c r="AB34" i="1"/>
  <c r="Y34" i="1"/>
  <c r="V34" i="1"/>
  <c r="R34" i="1"/>
  <c r="O34" i="1"/>
  <c r="L34" i="1"/>
  <c r="I34" i="1"/>
  <c r="F34" i="1"/>
  <c r="C34" i="1"/>
  <c r="AK33" i="1"/>
  <c r="AH33" i="1"/>
  <c r="AE33" i="1"/>
  <c r="AB33" i="1"/>
  <c r="Y33" i="1"/>
  <c r="V33" i="1"/>
  <c r="R33" i="1"/>
  <c r="O33" i="1"/>
  <c r="L33" i="1"/>
  <c r="I33" i="1"/>
  <c r="F33" i="1"/>
  <c r="C33" i="1"/>
  <c r="AK32" i="1"/>
  <c r="AH32" i="1"/>
  <c r="AE32" i="1"/>
  <c r="AB32" i="1"/>
  <c r="Y32" i="1"/>
  <c r="V32" i="1"/>
  <c r="R32" i="1"/>
  <c r="O32" i="1"/>
  <c r="L32" i="1"/>
  <c r="I32" i="1"/>
  <c r="F32" i="1"/>
  <c r="C32" i="1"/>
  <c r="AK31" i="1"/>
  <c r="AH31" i="1"/>
  <c r="AE31" i="1"/>
  <c r="AB31" i="1"/>
  <c r="Y31" i="1"/>
  <c r="V31" i="1"/>
  <c r="R31" i="1"/>
  <c r="O31" i="1"/>
  <c r="L31" i="1"/>
  <c r="I31" i="1"/>
  <c r="F31" i="1"/>
  <c r="C31" i="1"/>
  <c r="AK30" i="1"/>
  <c r="AH30" i="1"/>
  <c r="AE30" i="1"/>
  <c r="AB30" i="1"/>
  <c r="Y30" i="1"/>
  <c r="V30" i="1"/>
  <c r="R30" i="1"/>
  <c r="O30" i="1"/>
  <c r="L30" i="1"/>
  <c r="I30" i="1"/>
  <c r="F30" i="1"/>
  <c r="C30" i="1"/>
  <c r="AK29" i="1"/>
  <c r="AH29" i="1"/>
  <c r="AE29" i="1"/>
  <c r="AB29" i="1"/>
  <c r="Y29" i="1"/>
  <c r="V29" i="1"/>
  <c r="R29" i="1"/>
  <c r="O29" i="1"/>
  <c r="L29" i="1"/>
  <c r="I29" i="1"/>
  <c r="F29" i="1"/>
  <c r="C29" i="1"/>
  <c r="AK28" i="1"/>
  <c r="AH28" i="1"/>
  <c r="AE28" i="1"/>
  <c r="AB28" i="1"/>
  <c r="Y28" i="1"/>
  <c r="V28" i="1"/>
  <c r="R28" i="1"/>
  <c r="O28" i="1"/>
  <c r="L28" i="1"/>
  <c r="I28" i="1"/>
  <c r="F28" i="1"/>
  <c r="C28" i="1"/>
  <c r="AK27" i="1"/>
  <c r="AH27" i="1"/>
  <c r="AE27" i="1"/>
  <c r="AB27" i="1"/>
  <c r="Y27" i="1"/>
  <c r="V27" i="1"/>
  <c r="R27" i="1"/>
  <c r="O27" i="1"/>
  <c r="L27" i="1"/>
  <c r="I27" i="1"/>
  <c r="F27" i="1"/>
  <c r="C27" i="1"/>
  <c r="AK26" i="1"/>
  <c r="AH26" i="1"/>
  <c r="AE26" i="1"/>
  <c r="AB26" i="1"/>
  <c r="Y26" i="1"/>
  <c r="V26" i="1"/>
  <c r="R26" i="1"/>
  <c r="O26" i="1"/>
  <c r="L26" i="1"/>
  <c r="I26" i="1"/>
  <c r="F26" i="1"/>
  <c r="C26" i="1"/>
  <c r="AK25" i="1"/>
  <c r="AH25" i="1"/>
  <c r="AE25" i="1"/>
  <c r="AB25" i="1"/>
  <c r="Y25" i="1"/>
  <c r="V25" i="1"/>
  <c r="R25" i="1"/>
  <c r="O25" i="1"/>
  <c r="L25" i="1"/>
  <c r="I25" i="1"/>
  <c r="F25" i="1"/>
  <c r="C25" i="1"/>
  <c r="AK24" i="1"/>
  <c r="AH24" i="1"/>
  <c r="AE24" i="1"/>
  <c r="AB24" i="1"/>
  <c r="Y24" i="1"/>
  <c r="V24" i="1"/>
  <c r="R24" i="1"/>
  <c r="O24" i="1"/>
  <c r="L24" i="1"/>
  <c r="I24" i="1"/>
  <c r="F24" i="1"/>
  <c r="C24" i="1"/>
  <c r="AK23" i="1"/>
  <c r="AH23" i="1"/>
  <c r="AE23" i="1"/>
  <c r="AB23" i="1"/>
  <c r="Y23" i="1"/>
  <c r="V23" i="1"/>
  <c r="R23" i="1"/>
  <c r="O23" i="1"/>
  <c r="L23" i="1"/>
  <c r="I23" i="1"/>
  <c r="F23" i="1"/>
  <c r="C23" i="1"/>
  <c r="AK22" i="1"/>
  <c r="AH22" i="1"/>
  <c r="AE22" i="1"/>
  <c r="AB22" i="1"/>
  <c r="Y22" i="1"/>
  <c r="V22" i="1"/>
  <c r="R22" i="1"/>
  <c r="O22" i="1"/>
  <c r="L22" i="1"/>
  <c r="I22" i="1"/>
  <c r="F22" i="1"/>
  <c r="C22" i="1"/>
  <c r="AK21" i="1"/>
  <c r="AH21" i="1"/>
  <c r="AE21" i="1"/>
  <c r="AB21" i="1"/>
  <c r="Y21" i="1"/>
  <c r="V21" i="1"/>
  <c r="R21" i="1"/>
  <c r="O21" i="1"/>
  <c r="L21" i="1"/>
  <c r="I21" i="1"/>
  <c r="F21" i="1"/>
  <c r="C21" i="1"/>
  <c r="AK20" i="1"/>
  <c r="AH20" i="1"/>
  <c r="AE20" i="1"/>
  <c r="AB20" i="1"/>
  <c r="Y20" i="1"/>
  <c r="V20" i="1"/>
  <c r="R20" i="1"/>
  <c r="O20" i="1"/>
  <c r="L20" i="1"/>
  <c r="I20" i="1"/>
  <c r="F20" i="1"/>
  <c r="C20" i="1"/>
  <c r="AK19" i="1"/>
  <c r="AH19" i="1"/>
  <c r="AE19" i="1"/>
  <c r="AB19" i="1"/>
  <c r="Y19" i="1"/>
  <c r="V19" i="1"/>
  <c r="R19" i="1"/>
  <c r="O19" i="1"/>
  <c r="L19" i="1"/>
  <c r="I19" i="1"/>
  <c r="F19" i="1"/>
  <c r="C19" i="1"/>
  <c r="AK18" i="1"/>
  <c r="AH18" i="1"/>
  <c r="AE18" i="1"/>
  <c r="AB18" i="1"/>
  <c r="Y18" i="1"/>
  <c r="V18" i="1"/>
  <c r="R18" i="1"/>
  <c r="O18" i="1"/>
  <c r="L18" i="1"/>
  <c r="I18" i="1"/>
  <c r="F18" i="1"/>
  <c r="C18" i="1"/>
  <c r="AK17" i="1"/>
  <c r="AH17" i="1"/>
  <c r="AE17" i="1"/>
  <c r="AB17" i="1"/>
  <c r="Y17" i="1"/>
  <c r="V17" i="1"/>
  <c r="R17" i="1"/>
  <c r="O17" i="1"/>
  <c r="L17" i="1"/>
  <c r="I17" i="1"/>
  <c r="F17" i="1"/>
  <c r="C17" i="1"/>
  <c r="AK16" i="1"/>
  <c r="AH16" i="1"/>
  <c r="AE16" i="1"/>
  <c r="AB16" i="1"/>
  <c r="Y16" i="1"/>
  <c r="V16" i="1"/>
  <c r="R16" i="1"/>
  <c r="O16" i="1"/>
  <c r="L16" i="1"/>
  <c r="I16" i="1"/>
  <c r="F16" i="1"/>
  <c r="C16" i="1"/>
  <c r="AK15" i="1"/>
  <c r="AH15" i="1"/>
  <c r="AE15" i="1"/>
  <c r="AB15" i="1"/>
  <c r="Y15" i="1"/>
  <c r="V15" i="1"/>
  <c r="R15" i="1"/>
  <c r="O15" i="1"/>
  <c r="L15" i="1"/>
  <c r="I15" i="1"/>
  <c r="F15" i="1"/>
  <c r="C15" i="1"/>
  <c r="AK14" i="1"/>
  <c r="AH14" i="1"/>
  <c r="AE14" i="1"/>
  <c r="AB14" i="1"/>
  <c r="Y14" i="1"/>
  <c r="V14" i="1"/>
  <c r="R14" i="1"/>
  <c r="O14" i="1"/>
  <c r="L14" i="1"/>
  <c r="I14" i="1"/>
  <c r="F14" i="1"/>
  <c r="C14" i="1"/>
  <c r="AK13" i="1"/>
  <c r="AH13" i="1"/>
  <c r="AE13" i="1"/>
  <c r="AB13" i="1"/>
  <c r="Y13" i="1"/>
  <c r="V13" i="1"/>
  <c r="R13" i="1"/>
  <c r="O13" i="1"/>
  <c r="L13" i="1"/>
  <c r="I13" i="1"/>
  <c r="F13" i="1"/>
  <c r="C13" i="1"/>
  <c r="AK12" i="1"/>
  <c r="AH12" i="1"/>
  <c r="AE12" i="1"/>
  <c r="AB12" i="1"/>
  <c r="Y12" i="1"/>
  <c r="V12" i="1"/>
  <c r="R12" i="1"/>
  <c r="O12" i="1"/>
  <c r="L12" i="1"/>
  <c r="I12" i="1"/>
  <c r="F12" i="1"/>
  <c r="C12" i="1"/>
  <c r="AK11" i="1"/>
  <c r="AH11" i="1"/>
  <c r="AE11" i="1"/>
  <c r="AB11" i="1"/>
  <c r="Y11" i="1"/>
  <c r="V11" i="1"/>
  <c r="R11" i="1"/>
  <c r="O11" i="1"/>
  <c r="L11" i="1"/>
  <c r="I11" i="1"/>
  <c r="F11" i="1"/>
  <c r="C11" i="1"/>
  <c r="AK10" i="1"/>
  <c r="AH10" i="1"/>
  <c r="AE10" i="1"/>
  <c r="AB10" i="1"/>
  <c r="Y10" i="1"/>
  <c r="V10" i="1"/>
  <c r="R10" i="1"/>
  <c r="O10" i="1"/>
  <c r="L10" i="1"/>
  <c r="I10" i="1"/>
  <c r="F10" i="1"/>
  <c r="C10" i="1"/>
  <c r="AK9" i="1"/>
  <c r="AH9" i="1"/>
  <c r="AE9" i="1"/>
  <c r="AB9" i="1"/>
  <c r="Y9" i="1"/>
  <c r="V9" i="1"/>
  <c r="R9" i="1"/>
  <c r="O9" i="1"/>
  <c r="L9" i="1"/>
  <c r="I9" i="1"/>
  <c r="F9" i="1"/>
  <c r="C9" i="1"/>
  <c r="AK8" i="1"/>
  <c r="AH8" i="1"/>
  <c r="AE8" i="1"/>
  <c r="AB8" i="1"/>
  <c r="Y8" i="1"/>
  <c r="V8" i="1"/>
  <c r="R8" i="1"/>
  <c r="O8" i="1"/>
  <c r="L8" i="1"/>
  <c r="I8" i="1"/>
  <c r="F8" i="1"/>
  <c r="C8" i="1"/>
  <c r="AK7" i="1"/>
  <c r="AH7" i="1"/>
  <c r="AE7" i="1"/>
  <c r="AB7" i="1"/>
  <c r="Y7" i="1"/>
  <c r="V7" i="1"/>
  <c r="R7" i="1"/>
  <c r="O7" i="1"/>
  <c r="L7" i="1"/>
  <c r="I7" i="1"/>
  <c r="F7" i="1"/>
  <c r="C7" i="1"/>
  <c r="AK6" i="1"/>
  <c r="AH6" i="1"/>
  <c r="AE6" i="1"/>
  <c r="AB6" i="1"/>
  <c r="Y6" i="1"/>
  <c r="V6" i="1"/>
  <c r="R6" i="1"/>
  <c r="O6" i="1"/>
  <c r="L6" i="1"/>
  <c r="I6" i="1"/>
  <c r="F6" i="1"/>
  <c r="C6" i="1"/>
  <c r="AK5" i="1"/>
  <c r="AH5" i="1"/>
  <c r="AE5" i="1"/>
  <c r="AB5" i="1"/>
  <c r="Y5" i="1"/>
  <c r="V5" i="1"/>
  <c r="R5" i="1"/>
  <c r="O5" i="1"/>
  <c r="L5" i="1"/>
  <c r="I5" i="1"/>
  <c r="F5" i="1"/>
  <c r="C5" i="1"/>
</calcChain>
</file>

<file path=xl/sharedStrings.xml><?xml version="1.0" encoding="utf-8"?>
<sst xmlns="http://schemas.openxmlformats.org/spreadsheetml/2006/main" count="50" uniqueCount="17">
  <si>
    <t>길이</t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</si>
  <si>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D10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</si>
  <si>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D13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0.995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</si>
  <si>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D16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1.56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</si>
  <si>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D19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2.25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</si>
  <si>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</si>
  <si>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3.98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</si>
  <si>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D29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5.04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</si>
  <si>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D32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6.23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</si>
  <si>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D35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7.51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</si>
  <si>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 xml:space="preserve">D38 </t>
    </r>
    <r>
      <rPr>
        <b/>
        <sz val="10"/>
        <color theme="1"/>
        <rFont val="맑은 고딕"/>
        <family val="3"/>
        <charset val="129"/>
        <scheme val="minor"/>
      </rPr>
      <t xml:space="preserve">/ </t>
    </r>
    <r>
      <rPr>
        <b/>
        <sz val="10"/>
        <color rgb="FFFF0000"/>
        <rFont val="맑은 고딕"/>
        <family val="3"/>
        <charset val="129"/>
        <scheme val="minor"/>
      </rPr>
      <t>8.95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</si>
  <si>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D41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10.5</t>
    </r>
    <phoneticPr fontId="3" type="noConversion"/>
  </si>
  <si>
    <r>
      <rPr>
        <b/>
        <sz val="10"/>
        <color rgb="FF0000FF"/>
        <rFont val="맑은 고딕"/>
        <family val="3"/>
        <charset val="129"/>
        <scheme val="minor"/>
      </rPr>
      <t>D51</t>
    </r>
    <r>
      <rPr>
        <b/>
        <sz val="10"/>
        <color theme="1"/>
        <rFont val="맑은 고딕"/>
        <family val="3"/>
        <charset val="129"/>
        <scheme val="minor"/>
      </rPr>
      <t xml:space="preserve"> / </t>
    </r>
    <r>
      <rPr>
        <b/>
        <sz val="10"/>
        <color rgb="FFFF0000"/>
        <rFont val="맑은 고딕"/>
        <family val="3"/>
        <charset val="129"/>
        <scheme val="minor"/>
      </rPr>
      <t>15.9</t>
    </r>
    <phoneticPr fontId="3" type="noConversion"/>
  </si>
  <si>
    <t>본중</t>
    <phoneticPr fontId="3" type="noConversion"/>
  </si>
  <si>
    <t>본수</t>
    <phoneticPr fontId="3" type="noConversion"/>
  </si>
  <si>
    <t>중량</t>
    <phoneticPr fontId="3" type="noConversion"/>
  </si>
  <si>
    <t>RED FONT : 소수점 첫째자리 0.5 있음.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</si>
</sst>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3" fontId="8" fillId="3" borderId="6" xfId="0" applyNumberFormat="1" applyFont="1" applyFill="1" applyBorder="1" applyAlignment="1">
      <alignment horizontal="center" vertical="center" wrapText="1"/>
    </xf>
    <xf numFmtId="3" fontId="9" fillId="3" borderId="6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/>
    </xf>
    <xf numFmtId="176" fontId="2" fillId="4" borderId="5" xfId="1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4868-8473-4E95-8673-5705848865C0}">
  <sheetPr>
    <pageSetUpPr fitToPage="1"/>
  </sheetPr>
  <dimension ref="B3:AM66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17" sqref="B17"/>
    </sheetView>
  </sheetViews>
  <sheetFormatPr defaultRowHeight="16.5" x14ac:dyDescent="0.3"/>
  <cols>
    <col min="2" max="2" width="5" style="41" bestFit="1" customWidth="1"/>
    <col min="3" max="3" width="6.625" style="37" customWidth="1"/>
    <col min="4" max="4" width="6.625" style="38" customWidth="1"/>
    <col min="5" max="5" width="6.625" style="39" customWidth="1"/>
    <col min="6" max="6" width="6.625" style="37" customWidth="1"/>
    <col min="7" max="8" width="6.625" style="38" customWidth="1"/>
    <col min="9" max="9" width="6.625" style="37" customWidth="1"/>
    <col min="10" max="11" width="6.625" style="38" customWidth="1"/>
    <col min="12" max="12" width="6.625" style="37" customWidth="1"/>
    <col min="13" max="14" width="6.625" style="38" customWidth="1"/>
    <col min="15" max="15" width="6.625" style="37" customWidth="1"/>
    <col min="16" max="17" width="6.625" style="38" customWidth="1"/>
    <col min="18" max="18" width="6.625" style="37" customWidth="1"/>
    <col min="19" max="20" width="6.625" style="38" customWidth="1"/>
    <col min="21" max="21" width="6.625" style="40" customWidth="1"/>
    <col min="22" max="22" width="6.625" style="37" customWidth="1"/>
    <col min="23" max="24" width="6.625" style="38" customWidth="1"/>
    <col min="25" max="25" width="6.625" style="37" customWidth="1"/>
    <col min="26" max="27" width="6.625" style="38" customWidth="1"/>
    <col min="28" max="28" width="6.625" style="37" customWidth="1"/>
    <col min="29" max="30" width="6.625" style="38" customWidth="1"/>
    <col min="31" max="31" width="6.625" style="37" customWidth="1"/>
    <col min="32" max="33" width="6.625" style="38" customWidth="1"/>
    <col min="34" max="34" width="6.625" style="37" customWidth="1"/>
    <col min="35" max="36" width="6.625" style="38" customWidth="1"/>
    <col min="37" max="37" width="6.625" style="37" customWidth="1"/>
    <col min="38" max="39" width="6.625" style="38" customWidth="1"/>
  </cols>
  <sheetData>
    <row r="3" spans="2:39" s="3" customFormat="1" ht="30" customHeight="1" x14ac:dyDescent="0.3">
      <c r="B3" s="1" t="s">
        <v>0</v>
      </c>
      <c r="C3" s="1" t="s">
        <v>1</v>
      </c>
      <c r="D3" s="1"/>
      <c r="E3" s="1"/>
      <c r="F3" s="1" t="s">
        <v>2</v>
      </c>
      <c r="G3" s="1"/>
      <c r="H3" s="1"/>
      <c r="I3" s="1" t="s">
        <v>3</v>
      </c>
      <c r="J3" s="1"/>
      <c r="K3" s="1"/>
      <c r="L3" s="1" t="s">
        <v>4</v>
      </c>
      <c r="M3" s="1"/>
      <c r="N3" s="1"/>
      <c r="O3" s="1" t="s">
        <v>5</v>
      </c>
      <c r="P3" s="1"/>
      <c r="Q3" s="1"/>
      <c r="R3" s="1" t="s">
        <v>6</v>
      </c>
      <c r="S3" s="1"/>
      <c r="T3" s="1"/>
      <c r="U3" s="2"/>
      <c r="V3" s="1" t="s">
        <v>7</v>
      </c>
      <c r="W3" s="1"/>
      <c r="X3" s="1"/>
      <c r="Y3" s="1" t="s">
        <v>8</v>
      </c>
      <c r="Z3" s="1"/>
      <c r="AA3" s="1"/>
      <c r="AB3" s="1" t="s">
        <v>9</v>
      </c>
      <c r="AC3" s="1"/>
      <c r="AD3" s="1"/>
      <c r="AE3" s="1" t="s">
        <v>10</v>
      </c>
      <c r="AF3" s="1"/>
      <c r="AG3" s="1"/>
      <c r="AH3" s="1" t="s">
        <v>11</v>
      </c>
      <c r="AI3" s="1"/>
      <c r="AJ3" s="1"/>
      <c r="AK3" s="1" t="s">
        <v>12</v>
      </c>
      <c r="AL3" s="1"/>
      <c r="AM3" s="1"/>
    </row>
    <row r="4" spans="2:39" ht="30" customHeight="1" x14ac:dyDescent="0.3">
      <c r="B4" s="1"/>
      <c r="C4" s="4" t="s">
        <v>13</v>
      </c>
      <c r="D4" s="5" t="s">
        <v>14</v>
      </c>
      <c r="E4" s="6" t="s">
        <v>15</v>
      </c>
      <c r="F4" s="4" t="s">
        <v>13</v>
      </c>
      <c r="G4" s="5" t="s">
        <v>14</v>
      </c>
      <c r="H4" s="6" t="s">
        <v>15</v>
      </c>
      <c r="I4" s="4" t="s">
        <v>13</v>
      </c>
      <c r="J4" s="5" t="s">
        <v>14</v>
      </c>
      <c r="K4" s="6" t="s">
        <v>15</v>
      </c>
      <c r="L4" s="4" t="s">
        <v>13</v>
      </c>
      <c r="M4" s="5" t="s">
        <v>14</v>
      </c>
      <c r="N4" s="6" t="s">
        <v>15</v>
      </c>
      <c r="O4" s="4" t="s">
        <v>13</v>
      </c>
      <c r="P4" s="5" t="s">
        <v>14</v>
      </c>
      <c r="Q4" s="6" t="s">
        <v>15</v>
      </c>
      <c r="R4" s="4" t="s">
        <v>13</v>
      </c>
      <c r="S4" s="5" t="s">
        <v>14</v>
      </c>
      <c r="T4" s="6" t="s">
        <v>15</v>
      </c>
      <c r="U4" s="7"/>
      <c r="V4" s="8" t="s">
        <v>13</v>
      </c>
      <c r="W4" s="9" t="s">
        <v>14</v>
      </c>
      <c r="X4" s="10" t="s">
        <v>15</v>
      </c>
      <c r="Y4" s="8" t="s">
        <v>13</v>
      </c>
      <c r="Z4" s="9" t="s">
        <v>14</v>
      </c>
      <c r="AA4" s="10" t="s">
        <v>15</v>
      </c>
      <c r="AB4" s="8" t="s">
        <v>13</v>
      </c>
      <c r="AC4" s="9" t="s">
        <v>14</v>
      </c>
      <c r="AD4" s="10" t="s">
        <v>15</v>
      </c>
      <c r="AE4" s="8" t="s">
        <v>13</v>
      </c>
      <c r="AF4" s="9" t="s">
        <v>14</v>
      </c>
      <c r="AG4" s="10" t="s">
        <v>15</v>
      </c>
      <c r="AH4" s="8" t="s">
        <v>13</v>
      </c>
      <c r="AI4" s="9" t="s">
        <v>14</v>
      </c>
      <c r="AJ4" s="10" t="s">
        <v>15</v>
      </c>
      <c r="AK4" s="8" t="s">
        <v>13</v>
      </c>
      <c r="AL4" s="9" t="s">
        <v>14</v>
      </c>
      <c r="AM4" s="10" t="s">
        <v>15</v>
      </c>
    </row>
    <row r="5" spans="2:39" ht="30" customHeight="1" x14ac:dyDescent="0.3">
      <c r="B5" s="11">
        <v>6</v>
      </c>
      <c r="C5" s="12">
        <f>ROUND(B5*0.56,2)</f>
        <v>3.36</v>
      </c>
      <c r="D5" s="5">
        <v>300</v>
      </c>
      <c r="E5" s="6">
        <v>1008</v>
      </c>
      <c r="F5" s="4">
        <f>ROUND(B5*0.995,2)</f>
        <v>5.97</v>
      </c>
      <c r="G5" s="5">
        <v>160</v>
      </c>
      <c r="H5" s="13">
        <v>955</v>
      </c>
      <c r="I5" s="4">
        <f>ROUND(B5*1.56,2)</f>
        <v>9.36</v>
      </c>
      <c r="J5" s="5">
        <v>105</v>
      </c>
      <c r="K5" s="13">
        <v>983</v>
      </c>
      <c r="L5" s="4">
        <f>ROUND(B5*2.25,2)</f>
        <v>13.5</v>
      </c>
      <c r="M5" s="5">
        <v>74</v>
      </c>
      <c r="N5" s="13">
        <v>999</v>
      </c>
      <c r="O5" s="4">
        <f>ROUND(B5*3.04,2)</f>
        <v>18.239999999999998</v>
      </c>
      <c r="P5" s="5">
        <v>55</v>
      </c>
      <c r="Q5" s="13">
        <v>1003</v>
      </c>
      <c r="R5" s="4">
        <f>ROUND(B5*3.98,2)</f>
        <v>23.88</v>
      </c>
      <c r="S5" s="5">
        <v>42</v>
      </c>
      <c r="T5" s="13">
        <v>1003</v>
      </c>
      <c r="U5" s="14"/>
      <c r="V5" s="8">
        <f>ROUND(B5*5.04,2)</f>
        <v>30.24</v>
      </c>
      <c r="W5" s="9">
        <v>33</v>
      </c>
      <c r="X5" s="9">
        <v>998</v>
      </c>
      <c r="Y5" s="15">
        <f>ROUND(B5*6.23,2)</f>
        <v>37.380000000000003</v>
      </c>
      <c r="Z5" s="16">
        <v>27</v>
      </c>
      <c r="AA5" s="16">
        <v>1009</v>
      </c>
      <c r="AB5" s="15">
        <f>ROUND(B5*7.51,2)</f>
        <v>45.06</v>
      </c>
      <c r="AC5" s="17">
        <v>22</v>
      </c>
      <c r="AD5" s="18">
        <v>991</v>
      </c>
      <c r="AE5" s="15">
        <f>ROUND(B5*8.95,2)</f>
        <v>53.7</v>
      </c>
      <c r="AF5" s="17">
        <v>19</v>
      </c>
      <c r="AG5" s="18">
        <v>1020</v>
      </c>
      <c r="AH5" s="15">
        <f>ROUND(B5*10.5,2)</f>
        <v>63</v>
      </c>
      <c r="AI5" s="17">
        <v>16</v>
      </c>
      <c r="AJ5" s="18">
        <v>1008</v>
      </c>
      <c r="AK5" s="15">
        <f>ROUND(B5*15.9,2)</f>
        <v>95.4</v>
      </c>
      <c r="AL5" s="17"/>
      <c r="AM5" s="18"/>
    </row>
    <row r="6" spans="2:39" ht="30" customHeight="1" x14ac:dyDescent="0.3">
      <c r="B6" s="11">
        <v>6.1</v>
      </c>
      <c r="C6" s="12">
        <f t="shared" ref="C6:C65" si="0">ROUND(B6*0.56,2)</f>
        <v>3.42</v>
      </c>
      <c r="D6" s="5">
        <v>294</v>
      </c>
      <c r="E6" s="6">
        <v>1005</v>
      </c>
      <c r="F6" s="4">
        <f t="shared" ref="F6:F65" si="1">ROUND(B6*0.995,2)</f>
        <v>6.07</v>
      </c>
      <c r="G6" s="5">
        <v>160</v>
      </c>
      <c r="H6" s="13">
        <v>971</v>
      </c>
      <c r="I6" s="4">
        <f t="shared" ref="I6:I65" si="2">ROUND(B6*1.56,2)</f>
        <v>9.52</v>
      </c>
      <c r="J6" s="5">
        <v>105</v>
      </c>
      <c r="K6" s="13">
        <v>1000</v>
      </c>
      <c r="L6" s="4">
        <f t="shared" ref="L6:L65" si="3">ROUND(B6*2.25,2)</f>
        <v>13.73</v>
      </c>
      <c r="M6" s="5">
        <v>68</v>
      </c>
      <c r="N6" s="13">
        <v>934</v>
      </c>
      <c r="O6" s="4">
        <f t="shared" ref="O6:O65" si="4">ROUND(B6*3.04,2)</f>
        <v>18.54</v>
      </c>
      <c r="P6" s="5">
        <v>54</v>
      </c>
      <c r="Q6" s="13">
        <v>1001</v>
      </c>
      <c r="R6" s="4">
        <f t="shared" ref="R6:R65" si="5">ROUND(B6*3.98,2)</f>
        <v>24.28</v>
      </c>
      <c r="S6" s="5">
        <v>42</v>
      </c>
      <c r="T6" s="13">
        <v>1020</v>
      </c>
      <c r="U6" s="14"/>
      <c r="V6" s="8">
        <f t="shared" ref="V6:V65" si="6">ROUND(B6*5.04,2)</f>
        <v>30.74</v>
      </c>
      <c r="W6" s="9">
        <v>33</v>
      </c>
      <c r="X6" s="9">
        <v>1014</v>
      </c>
      <c r="Y6" s="15">
        <f t="shared" ref="Y6:Y65" si="7">ROUND(B6*6.23,2)</f>
        <v>38</v>
      </c>
      <c r="Z6" s="16">
        <v>27</v>
      </c>
      <c r="AA6" s="16">
        <v>1026</v>
      </c>
      <c r="AB6" s="15">
        <f t="shared" ref="AB6:AB65" si="8">ROUND(B6*7.51,2)</f>
        <v>45.81</v>
      </c>
      <c r="AC6" s="17"/>
      <c r="AD6" s="18"/>
      <c r="AE6" s="15">
        <f t="shared" ref="AE6:AE65" si="9">ROUND(B6*8.95,2)</f>
        <v>54.6</v>
      </c>
      <c r="AF6" s="17"/>
      <c r="AG6" s="18"/>
      <c r="AH6" s="15">
        <f t="shared" ref="AH6:AH65" si="10">ROUND(B6*10.5,2)</f>
        <v>64.05</v>
      </c>
      <c r="AI6" s="17"/>
      <c r="AJ6" s="18"/>
      <c r="AK6" s="15">
        <f t="shared" ref="AK6:AK65" si="11">ROUND(B6*15.9,2)</f>
        <v>96.99</v>
      </c>
      <c r="AL6" s="17"/>
      <c r="AM6" s="18"/>
    </row>
    <row r="7" spans="2:39" ht="30" customHeight="1" x14ac:dyDescent="0.3">
      <c r="B7" s="11">
        <v>6.2</v>
      </c>
      <c r="C7" s="12">
        <f t="shared" si="0"/>
        <v>3.47</v>
      </c>
      <c r="D7" s="5">
        <v>294</v>
      </c>
      <c r="E7" s="6">
        <v>1020</v>
      </c>
      <c r="F7" s="4">
        <f t="shared" si="1"/>
        <v>6.17</v>
      </c>
      <c r="G7" s="5">
        <v>160</v>
      </c>
      <c r="H7" s="13">
        <v>987</v>
      </c>
      <c r="I7" s="4">
        <f t="shared" si="2"/>
        <v>9.67</v>
      </c>
      <c r="J7" s="5">
        <v>105</v>
      </c>
      <c r="K7" s="13">
        <v>1015</v>
      </c>
      <c r="L7" s="4">
        <f t="shared" si="3"/>
        <v>13.95</v>
      </c>
      <c r="M7" s="5">
        <v>68</v>
      </c>
      <c r="N7" s="13">
        <v>949</v>
      </c>
      <c r="O7" s="4">
        <f t="shared" si="4"/>
        <v>18.850000000000001</v>
      </c>
      <c r="P7" s="5">
        <v>54</v>
      </c>
      <c r="Q7" s="13">
        <v>1018</v>
      </c>
      <c r="R7" s="4">
        <f t="shared" si="5"/>
        <v>24.68</v>
      </c>
      <c r="S7" s="5">
        <v>42</v>
      </c>
      <c r="T7" s="13">
        <v>1037</v>
      </c>
      <c r="U7" s="14"/>
      <c r="V7" s="8">
        <f t="shared" si="6"/>
        <v>31.25</v>
      </c>
      <c r="W7" s="9">
        <v>33</v>
      </c>
      <c r="X7" s="9">
        <v>1031</v>
      </c>
      <c r="Y7" s="15">
        <f t="shared" si="7"/>
        <v>38.630000000000003</v>
      </c>
      <c r="Z7" s="16">
        <v>27</v>
      </c>
      <c r="AA7" s="16">
        <v>1043</v>
      </c>
      <c r="AB7" s="15">
        <f t="shared" si="8"/>
        <v>46.56</v>
      </c>
      <c r="AC7" s="17">
        <v>22</v>
      </c>
      <c r="AD7" s="19">
        <v>1024.5</v>
      </c>
      <c r="AE7" s="15">
        <f t="shared" si="9"/>
        <v>55.49</v>
      </c>
      <c r="AF7" s="17"/>
      <c r="AG7" s="18"/>
      <c r="AH7" s="15">
        <f t="shared" si="10"/>
        <v>65.099999999999994</v>
      </c>
      <c r="AI7" s="17"/>
      <c r="AJ7" s="18"/>
      <c r="AK7" s="15">
        <f t="shared" si="11"/>
        <v>98.58</v>
      </c>
      <c r="AL7" s="17"/>
      <c r="AM7" s="18"/>
    </row>
    <row r="8" spans="2:39" ht="30" customHeight="1" x14ac:dyDescent="0.3">
      <c r="B8" s="11">
        <v>6.3</v>
      </c>
      <c r="C8" s="12">
        <f t="shared" si="0"/>
        <v>3.53</v>
      </c>
      <c r="D8" s="5">
        <v>266</v>
      </c>
      <c r="E8" s="6">
        <v>939</v>
      </c>
      <c r="F8" s="4">
        <f t="shared" si="1"/>
        <v>6.27</v>
      </c>
      <c r="G8" s="5">
        <v>160</v>
      </c>
      <c r="H8" s="13">
        <v>1003</v>
      </c>
      <c r="I8" s="4">
        <f t="shared" si="2"/>
        <v>9.83</v>
      </c>
      <c r="J8" s="5">
        <v>105</v>
      </c>
      <c r="K8" s="13">
        <v>1032</v>
      </c>
      <c r="L8" s="4">
        <f t="shared" si="3"/>
        <v>14.18</v>
      </c>
      <c r="M8" s="5">
        <v>68</v>
      </c>
      <c r="N8" s="13">
        <v>964</v>
      </c>
      <c r="O8" s="4">
        <f t="shared" si="4"/>
        <v>19.149999999999999</v>
      </c>
      <c r="P8" s="5">
        <v>54</v>
      </c>
      <c r="Q8" s="13">
        <v>1034</v>
      </c>
      <c r="R8" s="4">
        <f t="shared" si="5"/>
        <v>25.07</v>
      </c>
      <c r="S8" s="5">
        <v>42</v>
      </c>
      <c r="T8" s="13">
        <v>1053</v>
      </c>
      <c r="U8" s="14"/>
      <c r="V8" s="8">
        <f t="shared" si="6"/>
        <v>31.75</v>
      </c>
      <c r="W8" s="9">
        <v>33</v>
      </c>
      <c r="X8" s="9">
        <v>1048</v>
      </c>
      <c r="Y8" s="15">
        <f t="shared" si="7"/>
        <v>39.25</v>
      </c>
      <c r="Z8" s="16">
        <v>27</v>
      </c>
      <c r="AA8" s="16">
        <v>1060</v>
      </c>
      <c r="AB8" s="15">
        <f t="shared" si="8"/>
        <v>47.31</v>
      </c>
      <c r="AC8" s="17">
        <v>21</v>
      </c>
      <c r="AD8" s="19">
        <v>993.5</v>
      </c>
      <c r="AE8" s="15">
        <f t="shared" si="9"/>
        <v>56.39</v>
      </c>
      <c r="AF8" s="17"/>
      <c r="AG8" s="18"/>
      <c r="AH8" s="15">
        <f t="shared" si="10"/>
        <v>66.150000000000006</v>
      </c>
      <c r="AI8" s="17"/>
      <c r="AJ8" s="18"/>
      <c r="AK8" s="15">
        <f t="shared" si="11"/>
        <v>100.17</v>
      </c>
      <c r="AL8" s="17"/>
      <c r="AM8" s="18"/>
    </row>
    <row r="9" spans="2:39" ht="30" customHeight="1" x14ac:dyDescent="0.3">
      <c r="B9" s="11">
        <v>6.4</v>
      </c>
      <c r="C9" s="12">
        <f t="shared" si="0"/>
        <v>3.58</v>
      </c>
      <c r="D9" s="5">
        <v>266</v>
      </c>
      <c r="E9" s="6">
        <v>952</v>
      </c>
      <c r="F9" s="4">
        <f t="shared" si="1"/>
        <v>6.37</v>
      </c>
      <c r="G9" s="5">
        <v>160</v>
      </c>
      <c r="H9" s="13">
        <v>1019</v>
      </c>
      <c r="I9" s="4">
        <f t="shared" si="2"/>
        <v>9.98</v>
      </c>
      <c r="J9" s="5">
        <v>105</v>
      </c>
      <c r="K9" s="13">
        <v>1048</v>
      </c>
      <c r="L9" s="4">
        <f t="shared" si="3"/>
        <v>14.4</v>
      </c>
      <c r="M9" s="5">
        <v>68</v>
      </c>
      <c r="N9" s="13">
        <v>979</v>
      </c>
      <c r="O9" s="4">
        <f t="shared" si="4"/>
        <v>19.46</v>
      </c>
      <c r="P9" s="5">
        <v>54</v>
      </c>
      <c r="Q9" s="13">
        <v>1051</v>
      </c>
      <c r="R9" s="4">
        <f t="shared" si="5"/>
        <v>25.47</v>
      </c>
      <c r="S9" s="5">
        <v>42</v>
      </c>
      <c r="T9" s="13">
        <v>1070</v>
      </c>
      <c r="U9" s="14"/>
      <c r="V9" s="8">
        <f t="shared" si="6"/>
        <v>32.26</v>
      </c>
      <c r="W9" s="9">
        <v>33</v>
      </c>
      <c r="X9" s="9">
        <v>1065</v>
      </c>
      <c r="Y9" s="15">
        <f t="shared" si="7"/>
        <v>39.869999999999997</v>
      </c>
      <c r="Z9" s="16">
        <v>27</v>
      </c>
      <c r="AA9" s="16">
        <v>1076</v>
      </c>
      <c r="AB9" s="15">
        <f t="shared" si="8"/>
        <v>48.06</v>
      </c>
      <c r="AC9" s="17"/>
      <c r="AD9" s="19"/>
      <c r="AE9" s="15">
        <f t="shared" si="9"/>
        <v>57.28</v>
      </c>
      <c r="AF9" s="17"/>
      <c r="AG9" s="18"/>
      <c r="AH9" s="15">
        <f t="shared" si="10"/>
        <v>67.2</v>
      </c>
      <c r="AI9" s="17"/>
      <c r="AJ9" s="18"/>
      <c r="AK9" s="15">
        <f t="shared" si="11"/>
        <v>101.76</v>
      </c>
      <c r="AL9" s="17"/>
      <c r="AM9" s="18"/>
    </row>
    <row r="10" spans="2:39" ht="30" customHeight="1" x14ac:dyDescent="0.3">
      <c r="B10" s="11">
        <v>6.5</v>
      </c>
      <c r="C10" s="12">
        <f t="shared" si="0"/>
        <v>3.64</v>
      </c>
      <c r="D10" s="5">
        <v>270</v>
      </c>
      <c r="E10" s="6">
        <v>983</v>
      </c>
      <c r="F10" s="4">
        <f t="shared" si="1"/>
        <v>6.47</v>
      </c>
      <c r="G10" s="5">
        <v>160</v>
      </c>
      <c r="H10" s="13">
        <v>1035</v>
      </c>
      <c r="I10" s="4">
        <f t="shared" si="2"/>
        <v>10.14</v>
      </c>
      <c r="J10" s="5">
        <v>105</v>
      </c>
      <c r="K10" s="13">
        <v>1065</v>
      </c>
      <c r="L10" s="4">
        <f t="shared" si="3"/>
        <v>14.63</v>
      </c>
      <c r="M10" s="5">
        <v>68</v>
      </c>
      <c r="N10" s="13">
        <v>995</v>
      </c>
      <c r="O10" s="4">
        <f t="shared" si="4"/>
        <v>19.760000000000002</v>
      </c>
      <c r="P10" s="5">
        <v>51</v>
      </c>
      <c r="Q10" s="13">
        <v>1008</v>
      </c>
      <c r="R10" s="4">
        <f t="shared" si="5"/>
        <v>25.87</v>
      </c>
      <c r="S10" s="5">
        <v>39</v>
      </c>
      <c r="T10" s="13">
        <v>1009</v>
      </c>
      <c r="U10" s="14"/>
      <c r="V10" s="8">
        <f t="shared" si="6"/>
        <v>32.76</v>
      </c>
      <c r="W10" s="9">
        <v>31</v>
      </c>
      <c r="X10" s="9">
        <v>1016</v>
      </c>
      <c r="Y10" s="15">
        <f t="shared" si="7"/>
        <v>40.5</v>
      </c>
      <c r="Z10" s="16">
        <v>25</v>
      </c>
      <c r="AA10" s="16">
        <v>1013</v>
      </c>
      <c r="AB10" s="15">
        <f t="shared" si="8"/>
        <v>48.82</v>
      </c>
      <c r="AC10" s="17">
        <v>20</v>
      </c>
      <c r="AD10" s="18">
        <v>976</v>
      </c>
      <c r="AE10" s="15">
        <f t="shared" si="9"/>
        <v>58.18</v>
      </c>
      <c r="AF10" s="17">
        <v>17</v>
      </c>
      <c r="AG10" s="17">
        <v>989</v>
      </c>
      <c r="AH10" s="15">
        <f t="shared" si="10"/>
        <v>68.25</v>
      </c>
      <c r="AI10" s="17">
        <v>15</v>
      </c>
      <c r="AJ10" s="18">
        <v>1024</v>
      </c>
      <c r="AK10" s="15">
        <f t="shared" si="11"/>
        <v>103.35</v>
      </c>
      <c r="AL10" s="17"/>
      <c r="AM10" s="18"/>
    </row>
    <row r="11" spans="2:39" ht="30" customHeight="1" x14ac:dyDescent="0.3">
      <c r="B11" s="11">
        <v>6.6</v>
      </c>
      <c r="C11" s="12">
        <f t="shared" si="0"/>
        <v>3.7</v>
      </c>
      <c r="D11" s="5">
        <v>266</v>
      </c>
      <c r="E11" s="6">
        <v>984</v>
      </c>
      <c r="F11" s="4">
        <f t="shared" si="1"/>
        <v>6.57</v>
      </c>
      <c r="G11" s="5">
        <v>160</v>
      </c>
      <c r="H11" s="13">
        <v>1051</v>
      </c>
      <c r="I11" s="4">
        <f t="shared" si="2"/>
        <v>10.3</v>
      </c>
      <c r="J11" s="5">
        <v>95</v>
      </c>
      <c r="K11" s="13">
        <v>979</v>
      </c>
      <c r="L11" s="4">
        <f t="shared" si="3"/>
        <v>14.85</v>
      </c>
      <c r="M11" s="5">
        <v>68</v>
      </c>
      <c r="N11" s="13">
        <v>1010</v>
      </c>
      <c r="O11" s="4">
        <f t="shared" si="4"/>
        <v>20.059999999999999</v>
      </c>
      <c r="P11" s="5">
        <v>51</v>
      </c>
      <c r="Q11" s="13">
        <v>1023</v>
      </c>
      <c r="R11" s="4">
        <f t="shared" si="5"/>
        <v>26.27</v>
      </c>
      <c r="S11" s="5">
        <v>39</v>
      </c>
      <c r="T11" s="13">
        <v>1025</v>
      </c>
      <c r="U11" s="14"/>
      <c r="V11" s="8">
        <f t="shared" si="6"/>
        <v>33.26</v>
      </c>
      <c r="W11" s="9">
        <v>31</v>
      </c>
      <c r="X11" s="9">
        <v>1031</v>
      </c>
      <c r="Y11" s="15">
        <f t="shared" si="7"/>
        <v>41.12</v>
      </c>
      <c r="Z11" s="16">
        <v>25</v>
      </c>
      <c r="AA11" s="16">
        <v>1028</v>
      </c>
      <c r="AB11" s="15">
        <f t="shared" si="8"/>
        <v>49.57</v>
      </c>
      <c r="AC11" s="17"/>
      <c r="AD11" s="18"/>
      <c r="AE11" s="15">
        <f t="shared" si="9"/>
        <v>59.07</v>
      </c>
      <c r="AF11" s="17"/>
      <c r="AG11" s="17"/>
      <c r="AH11" s="15">
        <f t="shared" si="10"/>
        <v>69.3</v>
      </c>
      <c r="AI11" s="17"/>
      <c r="AJ11" s="18"/>
      <c r="AK11" s="15">
        <f t="shared" si="11"/>
        <v>104.94</v>
      </c>
      <c r="AL11" s="17"/>
      <c r="AM11" s="18"/>
    </row>
    <row r="12" spans="2:39" ht="30" customHeight="1" x14ac:dyDescent="0.3">
      <c r="B12" s="11">
        <v>6.7</v>
      </c>
      <c r="C12" s="12">
        <f t="shared" si="0"/>
        <v>3.75</v>
      </c>
      <c r="D12" s="5">
        <v>266</v>
      </c>
      <c r="E12" s="6">
        <v>998</v>
      </c>
      <c r="F12" s="4">
        <f t="shared" si="1"/>
        <v>6.67</v>
      </c>
      <c r="G12" s="5">
        <v>160</v>
      </c>
      <c r="H12" s="13">
        <v>1067</v>
      </c>
      <c r="I12" s="4">
        <f t="shared" si="2"/>
        <v>10.45</v>
      </c>
      <c r="J12" s="5">
        <v>95</v>
      </c>
      <c r="K12" s="13">
        <v>993</v>
      </c>
      <c r="L12" s="4">
        <f t="shared" si="3"/>
        <v>15.08</v>
      </c>
      <c r="M12" s="5">
        <v>65</v>
      </c>
      <c r="N12" s="13">
        <v>980</v>
      </c>
      <c r="O12" s="4">
        <f t="shared" si="4"/>
        <v>20.37</v>
      </c>
      <c r="P12" s="5">
        <v>51</v>
      </c>
      <c r="Q12" s="13">
        <v>1039</v>
      </c>
      <c r="R12" s="4">
        <f t="shared" si="5"/>
        <v>26.67</v>
      </c>
      <c r="S12" s="5">
        <v>39</v>
      </c>
      <c r="T12" s="13">
        <v>1040</v>
      </c>
      <c r="U12" s="14"/>
      <c r="V12" s="8">
        <f t="shared" si="6"/>
        <v>33.770000000000003</v>
      </c>
      <c r="W12" s="9">
        <v>31</v>
      </c>
      <c r="X12" s="9">
        <v>1047</v>
      </c>
      <c r="Y12" s="15">
        <f t="shared" si="7"/>
        <v>41.74</v>
      </c>
      <c r="Z12" s="16">
        <v>25</v>
      </c>
      <c r="AA12" s="20">
        <v>1043.5</v>
      </c>
      <c r="AB12" s="15">
        <f t="shared" si="8"/>
        <v>50.32</v>
      </c>
      <c r="AC12" s="17"/>
      <c r="AD12" s="18"/>
      <c r="AE12" s="15">
        <f t="shared" si="9"/>
        <v>59.97</v>
      </c>
      <c r="AF12" s="17"/>
      <c r="AG12" s="17"/>
      <c r="AH12" s="15">
        <f t="shared" si="10"/>
        <v>70.349999999999994</v>
      </c>
      <c r="AI12" s="17"/>
      <c r="AJ12" s="18"/>
      <c r="AK12" s="15">
        <f t="shared" si="11"/>
        <v>106.53</v>
      </c>
      <c r="AL12" s="17"/>
      <c r="AM12" s="18"/>
    </row>
    <row r="13" spans="2:39" ht="30" customHeight="1" x14ac:dyDescent="0.3">
      <c r="B13" s="11">
        <v>6.8</v>
      </c>
      <c r="C13" s="12">
        <f t="shared" si="0"/>
        <v>3.81</v>
      </c>
      <c r="D13" s="5">
        <v>266</v>
      </c>
      <c r="E13" s="6">
        <v>1013</v>
      </c>
      <c r="F13" s="4">
        <f t="shared" si="1"/>
        <v>6.77</v>
      </c>
      <c r="G13" s="5">
        <v>140</v>
      </c>
      <c r="H13" s="13">
        <v>948</v>
      </c>
      <c r="I13" s="4">
        <f t="shared" si="2"/>
        <v>10.61</v>
      </c>
      <c r="J13" s="5">
        <v>95</v>
      </c>
      <c r="K13" s="13">
        <v>1008</v>
      </c>
      <c r="L13" s="4">
        <f t="shared" si="3"/>
        <v>15.3</v>
      </c>
      <c r="M13" s="5">
        <v>65</v>
      </c>
      <c r="N13" s="13">
        <v>995</v>
      </c>
      <c r="O13" s="4">
        <f t="shared" si="4"/>
        <v>20.67</v>
      </c>
      <c r="P13" s="5">
        <v>51</v>
      </c>
      <c r="Q13" s="13">
        <v>1054</v>
      </c>
      <c r="R13" s="4">
        <f t="shared" si="5"/>
        <v>27.06</v>
      </c>
      <c r="S13" s="5">
        <v>39</v>
      </c>
      <c r="T13" s="13">
        <v>1055</v>
      </c>
      <c r="U13" s="14"/>
      <c r="V13" s="8">
        <f t="shared" si="6"/>
        <v>34.270000000000003</v>
      </c>
      <c r="W13" s="9">
        <v>31</v>
      </c>
      <c r="X13" s="9">
        <v>1062</v>
      </c>
      <c r="Y13" s="15">
        <f t="shared" si="7"/>
        <v>42.36</v>
      </c>
      <c r="Z13" s="16">
        <v>25</v>
      </c>
      <c r="AA13" s="16">
        <v>1059</v>
      </c>
      <c r="AB13" s="15">
        <f t="shared" si="8"/>
        <v>51.07</v>
      </c>
      <c r="AC13" s="17">
        <v>20</v>
      </c>
      <c r="AD13" s="19">
        <v>1021.5</v>
      </c>
      <c r="AE13" s="15">
        <f t="shared" si="9"/>
        <v>60.86</v>
      </c>
      <c r="AF13" s="17"/>
      <c r="AG13" s="17"/>
      <c r="AH13" s="15">
        <f t="shared" si="10"/>
        <v>71.400000000000006</v>
      </c>
      <c r="AI13" s="17"/>
      <c r="AJ13" s="18"/>
      <c r="AK13" s="15">
        <f t="shared" si="11"/>
        <v>108.12</v>
      </c>
      <c r="AL13" s="17"/>
      <c r="AM13" s="18"/>
    </row>
    <row r="14" spans="2:39" ht="30" customHeight="1" x14ac:dyDescent="0.3">
      <c r="B14" s="11">
        <v>6.9</v>
      </c>
      <c r="C14" s="12">
        <f t="shared" si="0"/>
        <v>3.86</v>
      </c>
      <c r="D14" s="5">
        <v>266</v>
      </c>
      <c r="E14" s="6">
        <v>1027</v>
      </c>
      <c r="F14" s="4">
        <f t="shared" si="1"/>
        <v>6.87</v>
      </c>
      <c r="G14" s="5">
        <v>140</v>
      </c>
      <c r="H14" s="13">
        <v>962</v>
      </c>
      <c r="I14" s="4">
        <f t="shared" si="2"/>
        <v>10.76</v>
      </c>
      <c r="J14" s="5">
        <v>95</v>
      </c>
      <c r="K14" s="13">
        <v>1022</v>
      </c>
      <c r="L14" s="4">
        <f t="shared" si="3"/>
        <v>15.53</v>
      </c>
      <c r="M14" s="5">
        <v>65</v>
      </c>
      <c r="N14" s="13">
        <v>1009</v>
      </c>
      <c r="O14" s="4">
        <f t="shared" si="4"/>
        <v>20.98</v>
      </c>
      <c r="P14" s="5">
        <v>51</v>
      </c>
      <c r="Q14" s="13">
        <v>1070</v>
      </c>
      <c r="R14" s="4">
        <f t="shared" si="5"/>
        <v>27.46</v>
      </c>
      <c r="S14" s="5">
        <v>39</v>
      </c>
      <c r="T14" s="13">
        <v>1071</v>
      </c>
      <c r="U14" s="14"/>
      <c r="V14" s="8">
        <f t="shared" si="6"/>
        <v>34.78</v>
      </c>
      <c r="W14" s="9">
        <v>31</v>
      </c>
      <c r="X14" s="9">
        <v>1078</v>
      </c>
      <c r="Y14" s="15">
        <f t="shared" si="7"/>
        <v>42.99</v>
      </c>
      <c r="Z14" s="16">
        <v>25</v>
      </c>
      <c r="AA14" s="16">
        <v>1075</v>
      </c>
      <c r="AB14" s="15">
        <f t="shared" si="8"/>
        <v>51.82</v>
      </c>
      <c r="AC14" s="17"/>
      <c r="AD14" s="19"/>
      <c r="AE14" s="15">
        <f t="shared" si="9"/>
        <v>61.76</v>
      </c>
      <c r="AF14" s="17"/>
      <c r="AG14" s="17"/>
      <c r="AH14" s="15">
        <f t="shared" si="10"/>
        <v>72.45</v>
      </c>
      <c r="AI14" s="17"/>
      <c r="AJ14" s="18"/>
      <c r="AK14" s="15">
        <f t="shared" si="11"/>
        <v>109.71</v>
      </c>
      <c r="AL14" s="17"/>
      <c r="AM14" s="18"/>
    </row>
    <row r="15" spans="2:39" ht="30" customHeight="1" x14ac:dyDescent="0.3">
      <c r="B15" s="11">
        <v>7</v>
      </c>
      <c r="C15" s="12">
        <f t="shared" si="0"/>
        <v>3.92</v>
      </c>
      <c r="D15" s="5">
        <v>270</v>
      </c>
      <c r="E15" s="6">
        <v>1058</v>
      </c>
      <c r="F15" s="4">
        <f t="shared" si="1"/>
        <v>6.97</v>
      </c>
      <c r="G15" s="5">
        <v>140</v>
      </c>
      <c r="H15" s="13">
        <v>976</v>
      </c>
      <c r="I15" s="4">
        <f t="shared" si="2"/>
        <v>10.92</v>
      </c>
      <c r="J15" s="5">
        <v>90</v>
      </c>
      <c r="K15" s="13">
        <v>983</v>
      </c>
      <c r="L15" s="4">
        <f t="shared" si="3"/>
        <v>15.75</v>
      </c>
      <c r="M15" s="5">
        <v>63</v>
      </c>
      <c r="N15" s="13">
        <v>992</v>
      </c>
      <c r="O15" s="4">
        <f t="shared" si="4"/>
        <v>21.28</v>
      </c>
      <c r="P15" s="5">
        <v>47</v>
      </c>
      <c r="Q15" s="13">
        <v>1000</v>
      </c>
      <c r="R15" s="4">
        <f t="shared" si="5"/>
        <v>27.86</v>
      </c>
      <c r="S15" s="5">
        <v>36</v>
      </c>
      <c r="T15" s="13">
        <v>1003</v>
      </c>
      <c r="U15" s="14"/>
      <c r="V15" s="8">
        <f t="shared" si="6"/>
        <v>35.28</v>
      </c>
      <c r="W15" s="9">
        <v>28</v>
      </c>
      <c r="X15" s="9">
        <v>988</v>
      </c>
      <c r="Y15" s="15">
        <f t="shared" si="7"/>
        <v>43.61</v>
      </c>
      <c r="Z15" s="16">
        <v>23</v>
      </c>
      <c r="AA15" s="16">
        <v>1003</v>
      </c>
      <c r="AB15" s="15">
        <f t="shared" si="8"/>
        <v>52.57</v>
      </c>
      <c r="AC15" s="17">
        <v>19</v>
      </c>
      <c r="AD15" s="18">
        <v>999</v>
      </c>
      <c r="AE15" s="15">
        <f t="shared" si="9"/>
        <v>62.65</v>
      </c>
      <c r="AF15" s="17">
        <v>16</v>
      </c>
      <c r="AG15" s="18">
        <v>1002</v>
      </c>
      <c r="AH15" s="15">
        <f t="shared" si="10"/>
        <v>73.5</v>
      </c>
      <c r="AI15" s="17">
        <v>14</v>
      </c>
      <c r="AJ15" s="18">
        <v>1029</v>
      </c>
      <c r="AK15" s="15">
        <f t="shared" si="11"/>
        <v>111.3</v>
      </c>
      <c r="AL15" s="17">
        <v>10</v>
      </c>
      <c r="AM15" s="18">
        <v>1113</v>
      </c>
    </row>
    <row r="16" spans="2:39" ht="30" customHeight="1" x14ac:dyDescent="0.3">
      <c r="B16" s="11">
        <v>7.1</v>
      </c>
      <c r="C16" s="12">
        <f t="shared" si="0"/>
        <v>3.98</v>
      </c>
      <c r="D16" s="5">
        <v>240</v>
      </c>
      <c r="E16" s="6">
        <v>955</v>
      </c>
      <c r="F16" s="4">
        <f t="shared" si="1"/>
        <v>7.06</v>
      </c>
      <c r="G16" s="5">
        <v>140</v>
      </c>
      <c r="H16" s="13">
        <v>988</v>
      </c>
      <c r="I16" s="4">
        <f t="shared" si="2"/>
        <v>11.08</v>
      </c>
      <c r="J16" s="5">
        <v>90</v>
      </c>
      <c r="K16" s="13">
        <v>997</v>
      </c>
      <c r="L16" s="4">
        <f t="shared" si="3"/>
        <v>15.98</v>
      </c>
      <c r="M16" s="5">
        <v>63</v>
      </c>
      <c r="N16" s="13">
        <v>1007</v>
      </c>
      <c r="O16" s="4">
        <f t="shared" si="4"/>
        <v>21.58</v>
      </c>
      <c r="P16" s="5">
        <v>47</v>
      </c>
      <c r="Q16" s="13">
        <v>1014</v>
      </c>
      <c r="R16" s="4">
        <f t="shared" si="5"/>
        <v>28.26</v>
      </c>
      <c r="S16" s="5">
        <v>36</v>
      </c>
      <c r="T16" s="13">
        <v>1017</v>
      </c>
      <c r="U16" s="14"/>
      <c r="V16" s="8">
        <f t="shared" si="6"/>
        <v>35.78</v>
      </c>
      <c r="W16" s="9">
        <v>28</v>
      </c>
      <c r="X16" s="9">
        <v>1002</v>
      </c>
      <c r="Y16" s="15">
        <f t="shared" si="7"/>
        <v>44.23</v>
      </c>
      <c r="Z16" s="16">
        <v>23</v>
      </c>
      <c r="AA16" s="16">
        <v>1017</v>
      </c>
      <c r="AB16" s="15">
        <f t="shared" si="8"/>
        <v>53.32</v>
      </c>
      <c r="AC16" s="17"/>
      <c r="AD16" s="18"/>
      <c r="AE16" s="15">
        <f t="shared" si="9"/>
        <v>63.55</v>
      </c>
      <c r="AF16" s="17"/>
      <c r="AG16" s="18"/>
      <c r="AH16" s="15">
        <f t="shared" si="10"/>
        <v>74.55</v>
      </c>
      <c r="AI16" s="17"/>
      <c r="AJ16" s="18"/>
      <c r="AK16" s="15">
        <f t="shared" si="11"/>
        <v>112.89</v>
      </c>
      <c r="AL16" s="17"/>
      <c r="AM16" s="18"/>
    </row>
    <row r="17" spans="2:39" ht="30" customHeight="1" x14ac:dyDescent="0.3">
      <c r="B17" s="11">
        <v>7.2</v>
      </c>
      <c r="C17" s="12">
        <f t="shared" si="0"/>
        <v>4.03</v>
      </c>
      <c r="D17" s="5">
        <v>240</v>
      </c>
      <c r="E17" s="6">
        <v>967</v>
      </c>
      <c r="F17" s="4">
        <f t="shared" si="1"/>
        <v>7.16</v>
      </c>
      <c r="G17" s="5">
        <v>140</v>
      </c>
      <c r="H17" s="13">
        <v>1002</v>
      </c>
      <c r="I17" s="4">
        <f t="shared" si="2"/>
        <v>11.23</v>
      </c>
      <c r="J17" s="5">
        <v>90</v>
      </c>
      <c r="K17" s="13">
        <v>1011</v>
      </c>
      <c r="L17" s="4">
        <f t="shared" si="3"/>
        <v>16.2</v>
      </c>
      <c r="M17" s="5">
        <v>63</v>
      </c>
      <c r="N17" s="13">
        <v>1021</v>
      </c>
      <c r="O17" s="4">
        <f t="shared" si="4"/>
        <v>21.89</v>
      </c>
      <c r="P17" s="5">
        <v>47</v>
      </c>
      <c r="Q17" s="13">
        <v>1029</v>
      </c>
      <c r="R17" s="4">
        <f t="shared" si="5"/>
        <v>28.66</v>
      </c>
      <c r="S17" s="5">
        <v>36</v>
      </c>
      <c r="T17" s="13">
        <v>1032</v>
      </c>
      <c r="U17" s="14"/>
      <c r="V17" s="8">
        <f t="shared" si="6"/>
        <v>36.29</v>
      </c>
      <c r="W17" s="9">
        <v>28</v>
      </c>
      <c r="X17" s="9">
        <v>1016</v>
      </c>
      <c r="Y17" s="15">
        <f t="shared" si="7"/>
        <v>44.86</v>
      </c>
      <c r="Z17" s="16">
        <v>23</v>
      </c>
      <c r="AA17" s="16">
        <v>1032</v>
      </c>
      <c r="AB17" s="15">
        <f t="shared" si="8"/>
        <v>54.07</v>
      </c>
      <c r="AC17" s="17">
        <v>18</v>
      </c>
      <c r="AD17" s="19">
        <v>973.5</v>
      </c>
      <c r="AE17" s="15">
        <f t="shared" si="9"/>
        <v>64.44</v>
      </c>
      <c r="AF17" s="17"/>
      <c r="AG17" s="18"/>
      <c r="AH17" s="15">
        <f t="shared" si="10"/>
        <v>75.599999999999994</v>
      </c>
      <c r="AI17" s="17"/>
      <c r="AJ17" s="18"/>
      <c r="AK17" s="15">
        <f t="shared" si="11"/>
        <v>114.48</v>
      </c>
      <c r="AL17" s="17"/>
      <c r="AM17" s="18"/>
    </row>
    <row r="18" spans="2:39" ht="30" customHeight="1" x14ac:dyDescent="0.3">
      <c r="B18" s="11">
        <v>7.3</v>
      </c>
      <c r="C18" s="12">
        <f t="shared" si="0"/>
        <v>4.09</v>
      </c>
      <c r="D18" s="5">
        <v>240</v>
      </c>
      <c r="E18" s="6">
        <v>982</v>
      </c>
      <c r="F18" s="4">
        <f t="shared" si="1"/>
        <v>7.26</v>
      </c>
      <c r="G18" s="5">
        <v>140</v>
      </c>
      <c r="H18" s="13">
        <v>1016</v>
      </c>
      <c r="I18" s="4">
        <f t="shared" si="2"/>
        <v>11.39</v>
      </c>
      <c r="J18" s="5">
        <v>90</v>
      </c>
      <c r="K18" s="13">
        <v>1025</v>
      </c>
      <c r="L18" s="4">
        <f t="shared" si="3"/>
        <v>16.43</v>
      </c>
      <c r="M18" s="5">
        <v>63</v>
      </c>
      <c r="N18" s="13">
        <v>1035</v>
      </c>
      <c r="O18" s="4">
        <f t="shared" si="4"/>
        <v>22.19</v>
      </c>
      <c r="P18" s="5">
        <v>47</v>
      </c>
      <c r="Q18" s="13">
        <v>1043</v>
      </c>
      <c r="R18" s="4">
        <f t="shared" si="5"/>
        <v>29.05</v>
      </c>
      <c r="S18" s="5">
        <v>36</v>
      </c>
      <c r="T18" s="13">
        <v>1046</v>
      </c>
      <c r="U18" s="14"/>
      <c r="V18" s="8">
        <f t="shared" si="6"/>
        <v>36.79</v>
      </c>
      <c r="W18" s="9">
        <v>28</v>
      </c>
      <c r="X18" s="9">
        <v>1030</v>
      </c>
      <c r="Y18" s="15">
        <f t="shared" si="7"/>
        <v>45.48</v>
      </c>
      <c r="Z18" s="16">
        <v>23</v>
      </c>
      <c r="AA18" s="16">
        <v>1046</v>
      </c>
      <c r="AB18" s="15">
        <f t="shared" si="8"/>
        <v>54.82</v>
      </c>
      <c r="AC18" s="17"/>
      <c r="AD18" s="19"/>
      <c r="AE18" s="15">
        <f t="shared" si="9"/>
        <v>65.34</v>
      </c>
      <c r="AF18" s="17"/>
      <c r="AG18" s="18"/>
      <c r="AH18" s="15">
        <f t="shared" si="10"/>
        <v>76.650000000000006</v>
      </c>
      <c r="AI18" s="17"/>
      <c r="AJ18" s="18"/>
      <c r="AK18" s="15">
        <f t="shared" si="11"/>
        <v>116.07</v>
      </c>
      <c r="AL18" s="17"/>
      <c r="AM18" s="18"/>
    </row>
    <row r="19" spans="2:39" ht="30" customHeight="1" x14ac:dyDescent="0.3">
      <c r="B19" s="11">
        <v>7.4</v>
      </c>
      <c r="C19" s="12">
        <f t="shared" si="0"/>
        <v>4.1399999999999997</v>
      </c>
      <c r="D19" s="5">
        <v>240</v>
      </c>
      <c r="E19" s="6">
        <v>994</v>
      </c>
      <c r="F19" s="4">
        <f t="shared" si="1"/>
        <v>7.36</v>
      </c>
      <c r="G19" s="5">
        <v>140</v>
      </c>
      <c r="H19" s="13">
        <v>1030</v>
      </c>
      <c r="I19" s="4">
        <f t="shared" si="2"/>
        <v>11.54</v>
      </c>
      <c r="J19" s="5">
        <v>90</v>
      </c>
      <c r="K19" s="13">
        <v>1039</v>
      </c>
      <c r="L19" s="4">
        <f t="shared" si="3"/>
        <v>16.649999999999999</v>
      </c>
      <c r="M19" s="5">
        <v>63</v>
      </c>
      <c r="N19" s="13">
        <v>1049</v>
      </c>
      <c r="O19" s="4">
        <f t="shared" si="4"/>
        <v>22.5</v>
      </c>
      <c r="P19" s="5">
        <v>47</v>
      </c>
      <c r="Q19" s="13">
        <v>1058</v>
      </c>
      <c r="R19" s="4">
        <f t="shared" si="5"/>
        <v>29.45</v>
      </c>
      <c r="S19" s="5">
        <v>36</v>
      </c>
      <c r="T19" s="13">
        <v>1060</v>
      </c>
      <c r="U19" s="14"/>
      <c r="V19" s="8">
        <f t="shared" si="6"/>
        <v>37.299999999999997</v>
      </c>
      <c r="W19" s="9">
        <v>28</v>
      </c>
      <c r="X19" s="9">
        <v>1044</v>
      </c>
      <c r="Y19" s="15">
        <f t="shared" si="7"/>
        <v>46.1</v>
      </c>
      <c r="Z19" s="16">
        <v>23</v>
      </c>
      <c r="AA19" s="16">
        <v>1060</v>
      </c>
      <c r="AB19" s="15">
        <f t="shared" si="8"/>
        <v>55.57</v>
      </c>
      <c r="AC19" s="17"/>
      <c r="AD19" s="19"/>
      <c r="AE19" s="15">
        <f t="shared" si="9"/>
        <v>66.23</v>
      </c>
      <c r="AF19" s="17"/>
      <c r="AG19" s="18"/>
      <c r="AH19" s="15">
        <f t="shared" si="10"/>
        <v>77.7</v>
      </c>
      <c r="AI19" s="17"/>
      <c r="AJ19" s="18"/>
      <c r="AK19" s="15">
        <f t="shared" si="11"/>
        <v>117.66</v>
      </c>
      <c r="AL19" s="17"/>
      <c r="AM19" s="18"/>
    </row>
    <row r="20" spans="2:39" ht="30" customHeight="1" x14ac:dyDescent="0.3">
      <c r="B20" s="11">
        <v>7.4999999999999902</v>
      </c>
      <c r="C20" s="12">
        <f t="shared" si="0"/>
        <v>4.2</v>
      </c>
      <c r="D20" s="5">
        <v>240</v>
      </c>
      <c r="E20" s="6">
        <v>1008</v>
      </c>
      <c r="F20" s="4">
        <f t="shared" si="1"/>
        <v>7.46</v>
      </c>
      <c r="G20" s="5">
        <v>140</v>
      </c>
      <c r="H20" s="13">
        <v>1044</v>
      </c>
      <c r="I20" s="4">
        <f t="shared" si="2"/>
        <v>11.7</v>
      </c>
      <c r="J20" s="5">
        <v>90</v>
      </c>
      <c r="K20" s="13">
        <v>1053</v>
      </c>
      <c r="L20" s="4">
        <f t="shared" si="3"/>
        <v>16.88</v>
      </c>
      <c r="M20" s="5">
        <v>59</v>
      </c>
      <c r="N20" s="13">
        <v>996</v>
      </c>
      <c r="O20" s="4">
        <f t="shared" si="4"/>
        <v>22.8</v>
      </c>
      <c r="P20" s="5">
        <v>44</v>
      </c>
      <c r="Q20" s="13">
        <v>1003</v>
      </c>
      <c r="R20" s="4">
        <f t="shared" si="5"/>
        <v>29.85</v>
      </c>
      <c r="S20" s="5">
        <v>33</v>
      </c>
      <c r="T20" s="13">
        <v>985</v>
      </c>
      <c r="U20" s="14"/>
      <c r="V20" s="8">
        <f t="shared" si="6"/>
        <v>37.799999999999997</v>
      </c>
      <c r="W20" s="9">
        <v>26</v>
      </c>
      <c r="X20" s="9">
        <v>983</v>
      </c>
      <c r="Y20" s="15">
        <f t="shared" si="7"/>
        <v>46.72</v>
      </c>
      <c r="Z20" s="16">
        <v>21</v>
      </c>
      <c r="AA20" s="16">
        <v>981</v>
      </c>
      <c r="AB20" s="15">
        <f t="shared" si="8"/>
        <v>56.32</v>
      </c>
      <c r="AC20" s="21">
        <v>17.5</v>
      </c>
      <c r="AD20" s="18">
        <v>1014</v>
      </c>
      <c r="AE20" s="15">
        <f t="shared" si="9"/>
        <v>67.12</v>
      </c>
      <c r="AF20" s="17">
        <v>15</v>
      </c>
      <c r="AG20" s="18">
        <v>1007</v>
      </c>
      <c r="AH20" s="15">
        <f t="shared" si="10"/>
        <v>78.75</v>
      </c>
      <c r="AI20" s="17">
        <v>13</v>
      </c>
      <c r="AJ20" s="18">
        <v>1024</v>
      </c>
      <c r="AK20" s="15">
        <f t="shared" si="11"/>
        <v>119.25</v>
      </c>
      <c r="AL20" s="17"/>
      <c r="AM20" s="18"/>
    </row>
    <row r="21" spans="2:39" ht="30" customHeight="1" x14ac:dyDescent="0.3">
      <c r="B21" s="11">
        <v>7.5999999999999899</v>
      </c>
      <c r="C21" s="12">
        <f t="shared" si="0"/>
        <v>4.26</v>
      </c>
      <c r="D21" s="5">
        <v>240</v>
      </c>
      <c r="E21" s="6">
        <v>1022</v>
      </c>
      <c r="F21" s="4">
        <f t="shared" si="1"/>
        <v>7.56</v>
      </c>
      <c r="G21" s="5">
        <v>130</v>
      </c>
      <c r="H21" s="13">
        <v>983</v>
      </c>
      <c r="I21" s="4">
        <f t="shared" si="2"/>
        <v>11.86</v>
      </c>
      <c r="J21" s="5">
        <v>82</v>
      </c>
      <c r="K21" s="13">
        <v>973</v>
      </c>
      <c r="L21" s="4">
        <f t="shared" si="3"/>
        <v>17.100000000000001</v>
      </c>
      <c r="M21" s="5">
        <v>59</v>
      </c>
      <c r="N21" s="13">
        <v>1009</v>
      </c>
      <c r="O21" s="4">
        <f t="shared" si="4"/>
        <v>23.1</v>
      </c>
      <c r="P21" s="5">
        <v>44</v>
      </c>
      <c r="Q21" s="13">
        <v>1016</v>
      </c>
      <c r="R21" s="4">
        <f t="shared" si="5"/>
        <v>30.25</v>
      </c>
      <c r="S21" s="5">
        <v>33</v>
      </c>
      <c r="T21" s="13">
        <v>998</v>
      </c>
      <c r="U21" s="14"/>
      <c r="V21" s="8">
        <f t="shared" si="6"/>
        <v>38.299999999999997</v>
      </c>
      <c r="W21" s="9">
        <v>26</v>
      </c>
      <c r="X21" s="9">
        <v>996</v>
      </c>
      <c r="Y21" s="15">
        <f t="shared" si="7"/>
        <v>47.35</v>
      </c>
      <c r="Z21" s="16">
        <v>21</v>
      </c>
      <c r="AA21" s="16">
        <v>994</v>
      </c>
      <c r="AB21" s="15">
        <f t="shared" si="8"/>
        <v>57.08</v>
      </c>
      <c r="AC21" s="21"/>
      <c r="AD21" s="18"/>
      <c r="AE21" s="15">
        <f t="shared" si="9"/>
        <v>68.02</v>
      </c>
      <c r="AF21" s="17"/>
      <c r="AG21" s="18"/>
      <c r="AH21" s="15">
        <f t="shared" si="10"/>
        <v>79.8</v>
      </c>
      <c r="AI21" s="17"/>
      <c r="AJ21" s="18"/>
      <c r="AK21" s="15">
        <f t="shared" si="11"/>
        <v>120.84</v>
      </c>
      <c r="AL21" s="17"/>
      <c r="AM21" s="18"/>
    </row>
    <row r="22" spans="2:39" ht="30" customHeight="1" x14ac:dyDescent="0.3">
      <c r="B22" s="11">
        <v>7.6999999999999904</v>
      </c>
      <c r="C22" s="12">
        <f t="shared" si="0"/>
        <v>4.3099999999999996</v>
      </c>
      <c r="D22" s="5">
        <v>240</v>
      </c>
      <c r="E22" s="6">
        <v>1034</v>
      </c>
      <c r="F22" s="4">
        <f t="shared" si="1"/>
        <v>7.66</v>
      </c>
      <c r="G22" s="5">
        <v>130</v>
      </c>
      <c r="H22" s="13">
        <v>996</v>
      </c>
      <c r="I22" s="4">
        <f t="shared" si="2"/>
        <v>12.01</v>
      </c>
      <c r="J22" s="5">
        <v>82</v>
      </c>
      <c r="K22" s="13">
        <v>985</v>
      </c>
      <c r="L22" s="4">
        <f t="shared" si="3"/>
        <v>17.329999999999998</v>
      </c>
      <c r="M22" s="5">
        <v>59</v>
      </c>
      <c r="N22" s="13">
        <v>1022</v>
      </c>
      <c r="O22" s="4">
        <f t="shared" si="4"/>
        <v>23.41</v>
      </c>
      <c r="P22" s="5">
        <v>44</v>
      </c>
      <c r="Q22" s="13">
        <v>1030</v>
      </c>
      <c r="R22" s="4">
        <f t="shared" si="5"/>
        <v>30.65</v>
      </c>
      <c r="S22" s="5">
        <v>33</v>
      </c>
      <c r="T22" s="13">
        <v>1011</v>
      </c>
      <c r="U22" s="14"/>
      <c r="V22" s="8">
        <f t="shared" si="6"/>
        <v>38.81</v>
      </c>
      <c r="W22" s="9">
        <v>26</v>
      </c>
      <c r="X22" s="9">
        <v>1009</v>
      </c>
      <c r="Y22" s="15">
        <f t="shared" si="7"/>
        <v>47.97</v>
      </c>
      <c r="Z22" s="16">
        <v>21</v>
      </c>
      <c r="AA22" s="16">
        <v>1007</v>
      </c>
      <c r="AB22" s="15">
        <f t="shared" si="8"/>
        <v>57.83</v>
      </c>
      <c r="AC22" s="21"/>
      <c r="AD22" s="18"/>
      <c r="AE22" s="15">
        <f t="shared" si="9"/>
        <v>68.91</v>
      </c>
      <c r="AF22" s="17"/>
      <c r="AG22" s="18"/>
      <c r="AH22" s="15">
        <f t="shared" si="10"/>
        <v>80.849999999999994</v>
      </c>
      <c r="AI22" s="17"/>
      <c r="AJ22" s="18"/>
      <c r="AK22" s="15">
        <f t="shared" si="11"/>
        <v>122.43</v>
      </c>
      <c r="AL22" s="17"/>
      <c r="AM22" s="18"/>
    </row>
    <row r="23" spans="2:39" ht="30" customHeight="1" x14ac:dyDescent="0.3">
      <c r="B23" s="11">
        <v>7.7999999999999901</v>
      </c>
      <c r="C23" s="12">
        <f t="shared" si="0"/>
        <v>4.37</v>
      </c>
      <c r="D23" s="5">
        <v>240</v>
      </c>
      <c r="E23" s="6">
        <v>1049</v>
      </c>
      <c r="F23" s="4">
        <f t="shared" si="1"/>
        <v>7.76</v>
      </c>
      <c r="G23" s="5">
        <v>130</v>
      </c>
      <c r="H23" s="13">
        <v>1009</v>
      </c>
      <c r="I23" s="4">
        <f t="shared" si="2"/>
        <v>12.17</v>
      </c>
      <c r="J23" s="5">
        <v>82</v>
      </c>
      <c r="K23" s="13">
        <v>998</v>
      </c>
      <c r="L23" s="4">
        <f t="shared" si="3"/>
        <v>17.55</v>
      </c>
      <c r="M23" s="5">
        <v>56</v>
      </c>
      <c r="N23" s="13">
        <v>983</v>
      </c>
      <c r="O23" s="4">
        <f t="shared" si="4"/>
        <v>23.71</v>
      </c>
      <c r="P23" s="5">
        <v>44</v>
      </c>
      <c r="Q23" s="13">
        <v>1043</v>
      </c>
      <c r="R23" s="4">
        <f t="shared" si="5"/>
        <v>31.04</v>
      </c>
      <c r="S23" s="5">
        <v>33</v>
      </c>
      <c r="T23" s="13">
        <v>1024</v>
      </c>
      <c r="U23" s="14"/>
      <c r="V23" s="8">
        <f t="shared" si="6"/>
        <v>39.31</v>
      </c>
      <c r="W23" s="9">
        <v>26</v>
      </c>
      <c r="X23" s="9">
        <v>1022</v>
      </c>
      <c r="Y23" s="15">
        <f t="shared" si="7"/>
        <v>48.59</v>
      </c>
      <c r="Z23" s="16">
        <v>21</v>
      </c>
      <c r="AA23" s="16">
        <v>1020</v>
      </c>
      <c r="AB23" s="15">
        <f t="shared" si="8"/>
        <v>58.58</v>
      </c>
      <c r="AC23" s="21"/>
      <c r="AD23" s="18"/>
      <c r="AE23" s="15">
        <f t="shared" si="9"/>
        <v>69.81</v>
      </c>
      <c r="AF23" s="17"/>
      <c r="AG23" s="18"/>
      <c r="AH23" s="15">
        <f t="shared" si="10"/>
        <v>81.900000000000006</v>
      </c>
      <c r="AI23" s="17"/>
      <c r="AJ23" s="18"/>
      <c r="AK23" s="15">
        <f t="shared" si="11"/>
        <v>124.02</v>
      </c>
      <c r="AL23" s="17"/>
      <c r="AM23" s="18"/>
    </row>
    <row r="24" spans="2:39" ht="30" customHeight="1" x14ac:dyDescent="0.3">
      <c r="B24" s="11">
        <v>7.8999999999999897</v>
      </c>
      <c r="C24" s="12">
        <f t="shared" si="0"/>
        <v>4.42</v>
      </c>
      <c r="D24" s="5">
        <v>240</v>
      </c>
      <c r="E24" s="6">
        <v>1061</v>
      </c>
      <c r="F24" s="4">
        <f t="shared" si="1"/>
        <v>7.86</v>
      </c>
      <c r="G24" s="5">
        <v>130</v>
      </c>
      <c r="H24" s="13">
        <v>1022</v>
      </c>
      <c r="I24" s="4">
        <f t="shared" si="2"/>
        <v>12.32</v>
      </c>
      <c r="J24" s="5">
        <v>82</v>
      </c>
      <c r="K24" s="13">
        <v>1010</v>
      </c>
      <c r="L24" s="4">
        <f t="shared" si="3"/>
        <v>17.78</v>
      </c>
      <c r="M24" s="5">
        <v>56</v>
      </c>
      <c r="N24" s="13">
        <v>996</v>
      </c>
      <c r="O24" s="4">
        <f t="shared" si="4"/>
        <v>24.02</v>
      </c>
      <c r="P24" s="5">
        <v>44</v>
      </c>
      <c r="Q24" s="13">
        <v>1057</v>
      </c>
      <c r="R24" s="4">
        <f t="shared" si="5"/>
        <v>31.44</v>
      </c>
      <c r="S24" s="5">
        <v>33</v>
      </c>
      <c r="T24" s="13">
        <v>1038</v>
      </c>
      <c r="U24" s="14"/>
      <c r="V24" s="8">
        <f t="shared" si="6"/>
        <v>39.82</v>
      </c>
      <c r="W24" s="9">
        <v>26</v>
      </c>
      <c r="X24" s="9">
        <v>1035</v>
      </c>
      <c r="Y24" s="15">
        <f t="shared" si="7"/>
        <v>49.22</v>
      </c>
      <c r="Z24" s="16">
        <v>21</v>
      </c>
      <c r="AA24" s="16">
        <v>1034</v>
      </c>
      <c r="AB24" s="15">
        <f t="shared" si="8"/>
        <v>59.33</v>
      </c>
      <c r="AC24" s="21"/>
      <c r="AD24" s="18"/>
      <c r="AE24" s="15">
        <f t="shared" si="9"/>
        <v>70.7</v>
      </c>
      <c r="AF24" s="17"/>
      <c r="AG24" s="18"/>
      <c r="AH24" s="15">
        <f t="shared" si="10"/>
        <v>82.95</v>
      </c>
      <c r="AI24" s="17"/>
      <c r="AJ24" s="18"/>
      <c r="AK24" s="15">
        <f t="shared" si="11"/>
        <v>125.61</v>
      </c>
      <c r="AL24" s="17"/>
      <c r="AM24" s="18"/>
    </row>
    <row r="25" spans="2:39" s="3" customFormat="1" ht="30" customHeight="1" x14ac:dyDescent="0.3">
      <c r="B25" s="22">
        <v>7.9999999999999902</v>
      </c>
      <c r="C25" s="23">
        <f t="shared" si="0"/>
        <v>4.4800000000000004</v>
      </c>
      <c r="D25" s="24">
        <v>210</v>
      </c>
      <c r="E25" s="25">
        <v>941</v>
      </c>
      <c r="F25" s="26">
        <f t="shared" si="1"/>
        <v>7.96</v>
      </c>
      <c r="G25" s="24">
        <v>120</v>
      </c>
      <c r="H25" s="27">
        <v>955</v>
      </c>
      <c r="I25" s="26">
        <f t="shared" si="2"/>
        <v>12.48</v>
      </c>
      <c r="J25" s="24">
        <v>75</v>
      </c>
      <c r="K25" s="27">
        <v>936</v>
      </c>
      <c r="L25" s="26">
        <f t="shared" si="3"/>
        <v>18</v>
      </c>
      <c r="M25" s="24">
        <v>56</v>
      </c>
      <c r="N25" s="27">
        <v>1008</v>
      </c>
      <c r="O25" s="26">
        <f t="shared" si="4"/>
        <v>24.32</v>
      </c>
      <c r="P25" s="24">
        <v>41</v>
      </c>
      <c r="Q25" s="27">
        <v>997</v>
      </c>
      <c r="R25" s="26">
        <f t="shared" si="5"/>
        <v>31.84</v>
      </c>
      <c r="S25" s="24">
        <v>32</v>
      </c>
      <c r="T25" s="27">
        <v>1019</v>
      </c>
      <c r="U25" s="28"/>
      <c r="V25" s="22">
        <f t="shared" si="6"/>
        <v>40.32</v>
      </c>
      <c r="W25" s="29">
        <v>25</v>
      </c>
      <c r="X25" s="29">
        <v>1008</v>
      </c>
      <c r="Y25" s="30">
        <f t="shared" si="7"/>
        <v>49.84</v>
      </c>
      <c r="Z25" s="31">
        <v>20</v>
      </c>
      <c r="AA25" s="31">
        <v>997</v>
      </c>
      <c r="AB25" s="30">
        <f t="shared" si="8"/>
        <v>60.08</v>
      </c>
      <c r="AC25" s="17">
        <v>17</v>
      </c>
      <c r="AD25" s="18">
        <v>1021</v>
      </c>
      <c r="AE25" s="30">
        <f t="shared" si="9"/>
        <v>71.599999999999994</v>
      </c>
      <c r="AF25" s="17">
        <v>14</v>
      </c>
      <c r="AG25" s="18">
        <v>1002</v>
      </c>
      <c r="AH25" s="15">
        <f t="shared" si="10"/>
        <v>84</v>
      </c>
      <c r="AI25" s="17">
        <v>12</v>
      </c>
      <c r="AJ25" s="18">
        <v>1008</v>
      </c>
      <c r="AK25" s="30">
        <f t="shared" si="11"/>
        <v>127.2</v>
      </c>
      <c r="AL25" s="17">
        <v>8</v>
      </c>
      <c r="AM25" s="19">
        <v>1017.5</v>
      </c>
    </row>
    <row r="26" spans="2:39" ht="30" customHeight="1" x14ac:dyDescent="0.3">
      <c r="B26" s="11">
        <v>8.0999999999999908</v>
      </c>
      <c r="C26" s="12">
        <f t="shared" si="0"/>
        <v>4.54</v>
      </c>
      <c r="D26" s="5">
        <v>210</v>
      </c>
      <c r="E26" s="6">
        <v>953</v>
      </c>
      <c r="F26" s="4">
        <f t="shared" si="1"/>
        <v>8.06</v>
      </c>
      <c r="G26" s="5">
        <v>120</v>
      </c>
      <c r="H26" s="13">
        <v>967</v>
      </c>
      <c r="I26" s="4">
        <f t="shared" si="2"/>
        <v>12.64</v>
      </c>
      <c r="J26" s="5">
        <v>75</v>
      </c>
      <c r="K26" s="13">
        <v>948</v>
      </c>
      <c r="L26" s="4">
        <f t="shared" si="3"/>
        <v>18.23</v>
      </c>
      <c r="M26" s="5">
        <v>56</v>
      </c>
      <c r="N26" s="13">
        <v>1021</v>
      </c>
      <c r="O26" s="4">
        <f t="shared" si="4"/>
        <v>24.62</v>
      </c>
      <c r="P26" s="5">
        <v>41</v>
      </c>
      <c r="Q26" s="13">
        <v>1009</v>
      </c>
      <c r="R26" s="4">
        <f t="shared" si="5"/>
        <v>32.24</v>
      </c>
      <c r="S26" s="5">
        <v>32</v>
      </c>
      <c r="T26" s="13">
        <v>1032</v>
      </c>
      <c r="U26" s="14"/>
      <c r="V26" s="8">
        <f t="shared" si="6"/>
        <v>40.82</v>
      </c>
      <c r="W26" s="9">
        <v>25</v>
      </c>
      <c r="X26" s="9">
        <v>1021</v>
      </c>
      <c r="Y26" s="15">
        <f t="shared" si="7"/>
        <v>50.46</v>
      </c>
      <c r="Z26" s="16">
        <v>20</v>
      </c>
      <c r="AA26" s="16">
        <v>1009</v>
      </c>
      <c r="AB26" s="15">
        <f t="shared" si="8"/>
        <v>60.83</v>
      </c>
      <c r="AC26" s="17"/>
      <c r="AD26" s="18"/>
      <c r="AE26" s="15">
        <f t="shared" si="9"/>
        <v>72.489999999999995</v>
      </c>
      <c r="AF26" s="17"/>
      <c r="AG26" s="18"/>
      <c r="AH26" s="15">
        <f t="shared" si="10"/>
        <v>85.05</v>
      </c>
      <c r="AI26" s="17"/>
      <c r="AJ26" s="18"/>
      <c r="AK26" s="15">
        <f t="shared" si="11"/>
        <v>128.79</v>
      </c>
      <c r="AL26" s="17"/>
      <c r="AM26" s="18"/>
    </row>
    <row r="27" spans="2:39" ht="30" customHeight="1" x14ac:dyDescent="0.3">
      <c r="B27" s="11">
        <v>8.1999999999999904</v>
      </c>
      <c r="C27" s="12">
        <f t="shared" si="0"/>
        <v>4.59</v>
      </c>
      <c r="D27" s="5">
        <v>210</v>
      </c>
      <c r="E27" s="6">
        <v>964</v>
      </c>
      <c r="F27" s="4">
        <f t="shared" si="1"/>
        <v>8.16</v>
      </c>
      <c r="G27" s="5">
        <v>120</v>
      </c>
      <c r="H27" s="13">
        <v>979</v>
      </c>
      <c r="I27" s="4">
        <f t="shared" si="2"/>
        <v>12.79</v>
      </c>
      <c r="J27" s="5">
        <v>75</v>
      </c>
      <c r="K27" s="13">
        <v>959</v>
      </c>
      <c r="L27" s="4">
        <f t="shared" si="3"/>
        <v>18.45</v>
      </c>
      <c r="M27" s="5">
        <v>56</v>
      </c>
      <c r="N27" s="13">
        <v>1033</v>
      </c>
      <c r="O27" s="4">
        <f t="shared" si="4"/>
        <v>24.93</v>
      </c>
      <c r="P27" s="5">
        <v>41</v>
      </c>
      <c r="Q27" s="13">
        <v>1022</v>
      </c>
      <c r="R27" s="4">
        <f t="shared" si="5"/>
        <v>32.64</v>
      </c>
      <c r="S27" s="5">
        <v>32</v>
      </c>
      <c r="T27" s="13">
        <v>1044</v>
      </c>
      <c r="U27" s="14"/>
      <c r="V27" s="8">
        <f t="shared" si="6"/>
        <v>41.33</v>
      </c>
      <c r="W27" s="9">
        <v>25</v>
      </c>
      <c r="X27" s="9">
        <v>1033</v>
      </c>
      <c r="Y27" s="15">
        <f t="shared" si="7"/>
        <v>51.09</v>
      </c>
      <c r="Z27" s="16">
        <v>20</v>
      </c>
      <c r="AA27" s="16">
        <v>1022</v>
      </c>
      <c r="AB27" s="15">
        <f t="shared" si="8"/>
        <v>61.58</v>
      </c>
      <c r="AC27" s="17"/>
      <c r="AD27" s="18"/>
      <c r="AE27" s="15">
        <f t="shared" si="9"/>
        <v>73.39</v>
      </c>
      <c r="AF27" s="17"/>
      <c r="AG27" s="18"/>
      <c r="AH27" s="15">
        <f t="shared" si="10"/>
        <v>86.1</v>
      </c>
      <c r="AI27" s="17"/>
      <c r="AJ27" s="18"/>
      <c r="AK27" s="15">
        <f t="shared" si="11"/>
        <v>130.38</v>
      </c>
      <c r="AL27" s="17"/>
      <c r="AM27" s="18"/>
    </row>
    <row r="28" spans="2:39" ht="30" customHeight="1" x14ac:dyDescent="0.3">
      <c r="B28" s="11">
        <v>8.2999999999999901</v>
      </c>
      <c r="C28" s="12">
        <f t="shared" si="0"/>
        <v>4.6500000000000004</v>
      </c>
      <c r="D28" s="5">
        <v>210</v>
      </c>
      <c r="E28" s="6">
        <v>977</v>
      </c>
      <c r="F28" s="4">
        <f t="shared" si="1"/>
        <v>8.26</v>
      </c>
      <c r="G28" s="5">
        <v>120</v>
      </c>
      <c r="H28" s="13">
        <v>991</v>
      </c>
      <c r="I28" s="4">
        <f t="shared" si="2"/>
        <v>12.95</v>
      </c>
      <c r="J28" s="5">
        <v>75</v>
      </c>
      <c r="K28" s="13">
        <v>971</v>
      </c>
      <c r="L28" s="4">
        <f t="shared" si="3"/>
        <v>18.68</v>
      </c>
      <c r="M28" s="5">
        <v>56</v>
      </c>
      <c r="N28" s="13">
        <v>1046</v>
      </c>
      <c r="O28" s="4">
        <f t="shared" si="4"/>
        <v>25.23</v>
      </c>
      <c r="P28" s="5">
        <v>41</v>
      </c>
      <c r="Q28" s="13">
        <v>1034</v>
      </c>
      <c r="R28" s="4">
        <f t="shared" si="5"/>
        <v>33.03</v>
      </c>
      <c r="S28" s="5">
        <v>32</v>
      </c>
      <c r="T28" s="13">
        <v>1057</v>
      </c>
      <c r="U28" s="14"/>
      <c r="V28" s="8">
        <f t="shared" si="6"/>
        <v>41.83</v>
      </c>
      <c r="W28" s="9">
        <v>25</v>
      </c>
      <c r="X28" s="9">
        <v>1046</v>
      </c>
      <c r="Y28" s="15">
        <f t="shared" si="7"/>
        <v>51.71</v>
      </c>
      <c r="Z28" s="16">
        <v>20</v>
      </c>
      <c r="AA28" s="16">
        <v>1034</v>
      </c>
      <c r="AB28" s="15">
        <f t="shared" si="8"/>
        <v>62.33</v>
      </c>
      <c r="AC28" s="17"/>
      <c r="AD28" s="18"/>
      <c r="AE28" s="15">
        <f t="shared" si="9"/>
        <v>74.28</v>
      </c>
      <c r="AF28" s="17"/>
      <c r="AG28" s="18"/>
      <c r="AH28" s="15">
        <f t="shared" si="10"/>
        <v>87.15</v>
      </c>
      <c r="AI28" s="17"/>
      <c r="AJ28" s="18"/>
      <c r="AK28" s="15">
        <f t="shared" si="11"/>
        <v>131.97</v>
      </c>
      <c r="AL28" s="17"/>
      <c r="AM28" s="18"/>
    </row>
    <row r="29" spans="2:39" ht="30" customHeight="1" x14ac:dyDescent="0.3">
      <c r="B29" s="11">
        <v>8.3999999999999897</v>
      </c>
      <c r="C29" s="12">
        <f t="shared" si="0"/>
        <v>4.7</v>
      </c>
      <c r="D29" s="5">
        <v>210</v>
      </c>
      <c r="E29" s="6">
        <v>987</v>
      </c>
      <c r="F29" s="4">
        <f t="shared" si="1"/>
        <v>8.36</v>
      </c>
      <c r="G29" s="5">
        <v>120</v>
      </c>
      <c r="H29" s="13">
        <v>1003</v>
      </c>
      <c r="I29" s="4">
        <f t="shared" si="2"/>
        <v>13.1</v>
      </c>
      <c r="J29" s="5">
        <v>75</v>
      </c>
      <c r="K29" s="13">
        <v>983</v>
      </c>
      <c r="L29" s="4">
        <f t="shared" si="3"/>
        <v>18.899999999999999</v>
      </c>
      <c r="M29" s="5">
        <v>56</v>
      </c>
      <c r="N29" s="13">
        <v>1058</v>
      </c>
      <c r="O29" s="4">
        <f t="shared" si="4"/>
        <v>25.54</v>
      </c>
      <c r="P29" s="5">
        <v>41</v>
      </c>
      <c r="Q29" s="13">
        <v>1047</v>
      </c>
      <c r="R29" s="4">
        <f t="shared" si="5"/>
        <v>33.43</v>
      </c>
      <c r="S29" s="5">
        <v>32</v>
      </c>
      <c r="T29" s="13">
        <v>1070</v>
      </c>
      <c r="U29" s="14"/>
      <c r="V29" s="8">
        <f t="shared" si="6"/>
        <v>42.34</v>
      </c>
      <c r="W29" s="9">
        <v>25</v>
      </c>
      <c r="X29" s="9">
        <v>1059</v>
      </c>
      <c r="Y29" s="15">
        <f t="shared" si="7"/>
        <v>52.33</v>
      </c>
      <c r="Z29" s="16">
        <v>20</v>
      </c>
      <c r="AA29" s="16">
        <v>1047</v>
      </c>
      <c r="AB29" s="15">
        <f t="shared" si="8"/>
        <v>63.08</v>
      </c>
      <c r="AC29" s="17"/>
      <c r="AD29" s="18"/>
      <c r="AE29" s="15">
        <f t="shared" si="9"/>
        <v>75.180000000000007</v>
      </c>
      <c r="AF29" s="17"/>
      <c r="AG29" s="18"/>
      <c r="AH29" s="15">
        <f t="shared" si="10"/>
        <v>88.2</v>
      </c>
      <c r="AI29" s="17"/>
      <c r="AJ29" s="18"/>
      <c r="AK29" s="15">
        <f t="shared" si="11"/>
        <v>133.56</v>
      </c>
      <c r="AL29" s="17"/>
      <c r="AM29" s="18"/>
    </row>
    <row r="30" spans="2:39" ht="30" customHeight="1" x14ac:dyDescent="0.3">
      <c r="B30" s="11">
        <v>8.4999999999999893</v>
      </c>
      <c r="C30" s="12">
        <f t="shared" si="0"/>
        <v>4.76</v>
      </c>
      <c r="D30" s="5">
        <v>210</v>
      </c>
      <c r="E30" s="6">
        <v>1000</v>
      </c>
      <c r="F30" s="4">
        <f t="shared" si="1"/>
        <v>8.4600000000000009</v>
      </c>
      <c r="G30" s="5">
        <v>120</v>
      </c>
      <c r="H30" s="13">
        <v>1015</v>
      </c>
      <c r="I30" s="4">
        <f t="shared" si="2"/>
        <v>13.26</v>
      </c>
      <c r="J30" s="5">
        <v>75</v>
      </c>
      <c r="K30" s="13">
        <v>995</v>
      </c>
      <c r="L30" s="4">
        <f t="shared" si="3"/>
        <v>19.13</v>
      </c>
      <c r="M30" s="5">
        <v>54</v>
      </c>
      <c r="N30" s="13">
        <v>1033</v>
      </c>
      <c r="O30" s="4">
        <f t="shared" si="4"/>
        <v>25.84</v>
      </c>
      <c r="P30" s="5">
        <v>37</v>
      </c>
      <c r="Q30" s="13">
        <v>956</v>
      </c>
      <c r="R30" s="4">
        <f t="shared" si="5"/>
        <v>33.83</v>
      </c>
      <c r="S30" s="5">
        <v>30</v>
      </c>
      <c r="T30" s="13">
        <v>1015</v>
      </c>
      <c r="U30" s="14"/>
      <c r="V30" s="8">
        <f t="shared" si="6"/>
        <v>42.84</v>
      </c>
      <c r="W30" s="9">
        <v>24</v>
      </c>
      <c r="X30" s="9">
        <v>1028</v>
      </c>
      <c r="Y30" s="15">
        <f t="shared" si="7"/>
        <v>52.95</v>
      </c>
      <c r="Z30" s="16">
        <v>20</v>
      </c>
      <c r="AA30" s="16">
        <v>1059</v>
      </c>
      <c r="AB30" s="15">
        <f t="shared" si="8"/>
        <v>63.83</v>
      </c>
      <c r="AC30" s="17"/>
      <c r="AD30" s="18"/>
      <c r="AE30" s="15">
        <f t="shared" si="9"/>
        <v>76.069999999999993</v>
      </c>
      <c r="AF30" s="17"/>
      <c r="AG30" s="18"/>
      <c r="AH30" s="15">
        <f t="shared" si="10"/>
        <v>89.25</v>
      </c>
      <c r="AI30" s="17"/>
      <c r="AJ30" s="18"/>
      <c r="AK30" s="15">
        <f t="shared" si="11"/>
        <v>135.15</v>
      </c>
      <c r="AL30" s="17"/>
      <c r="AM30" s="18"/>
    </row>
    <row r="31" spans="2:39" ht="30" customHeight="1" x14ac:dyDescent="0.3">
      <c r="B31" s="11">
        <v>8.5999999999999908</v>
      </c>
      <c r="C31" s="12">
        <f t="shared" si="0"/>
        <v>4.82</v>
      </c>
      <c r="D31" s="5">
        <v>210</v>
      </c>
      <c r="E31" s="6">
        <v>1012</v>
      </c>
      <c r="F31" s="4">
        <f t="shared" si="1"/>
        <v>8.56</v>
      </c>
      <c r="G31" s="5">
        <v>120</v>
      </c>
      <c r="H31" s="13">
        <v>1027</v>
      </c>
      <c r="I31" s="4">
        <f t="shared" si="2"/>
        <v>13.42</v>
      </c>
      <c r="J31" s="5">
        <v>75</v>
      </c>
      <c r="K31" s="13">
        <v>1007</v>
      </c>
      <c r="L31" s="4">
        <f t="shared" si="3"/>
        <v>19.350000000000001</v>
      </c>
      <c r="M31" s="5">
        <v>54</v>
      </c>
      <c r="N31" s="13">
        <v>1045</v>
      </c>
      <c r="O31" s="4">
        <f t="shared" si="4"/>
        <v>26.14</v>
      </c>
      <c r="P31" s="5">
        <v>37</v>
      </c>
      <c r="Q31" s="13">
        <v>967</v>
      </c>
      <c r="R31" s="4">
        <f t="shared" si="5"/>
        <v>34.229999999999997</v>
      </c>
      <c r="S31" s="5">
        <v>30</v>
      </c>
      <c r="T31" s="13">
        <v>1027</v>
      </c>
      <c r="U31" s="14"/>
      <c r="V31" s="8">
        <f t="shared" si="6"/>
        <v>43.34</v>
      </c>
      <c r="W31" s="9">
        <v>24</v>
      </c>
      <c r="X31" s="9">
        <v>1040</v>
      </c>
      <c r="Y31" s="15">
        <f t="shared" si="7"/>
        <v>53.58</v>
      </c>
      <c r="Z31" s="16">
        <v>18</v>
      </c>
      <c r="AA31" s="16">
        <v>964</v>
      </c>
      <c r="AB31" s="15">
        <f t="shared" si="8"/>
        <v>64.59</v>
      </c>
      <c r="AC31" s="17"/>
      <c r="AD31" s="18"/>
      <c r="AE31" s="15">
        <f t="shared" si="9"/>
        <v>76.97</v>
      </c>
      <c r="AF31" s="17"/>
      <c r="AG31" s="18"/>
      <c r="AH31" s="15">
        <f t="shared" si="10"/>
        <v>90.3</v>
      </c>
      <c r="AI31" s="17"/>
      <c r="AJ31" s="18"/>
      <c r="AK31" s="15">
        <f t="shared" si="11"/>
        <v>136.74</v>
      </c>
      <c r="AL31" s="17"/>
      <c r="AM31" s="18"/>
    </row>
    <row r="32" spans="2:39" ht="30" customHeight="1" x14ac:dyDescent="0.3">
      <c r="B32" s="11">
        <v>8.6999999999999904</v>
      </c>
      <c r="C32" s="12">
        <f t="shared" si="0"/>
        <v>4.87</v>
      </c>
      <c r="D32" s="5">
        <v>210</v>
      </c>
      <c r="E32" s="6">
        <v>1023</v>
      </c>
      <c r="F32" s="4">
        <f t="shared" si="1"/>
        <v>8.66</v>
      </c>
      <c r="G32" s="5">
        <v>120</v>
      </c>
      <c r="H32" s="13">
        <v>1039</v>
      </c>
      <c r="I32" s="4">
        <f t="shared" si="2"/>
        <v>13.57</v>
      </c>
      <c r="J32" s="5">
        <v>75</v>
      </c>
      <c r="K32" s="13">
        <v>1018</v>
      </c>
      <c r="L32" s="4">
        <f t="shared" si="3"/>
        <v>19.579999999999998</v>
      </c>
      <c r="M32" s="5">
        <v>49</v>
      </c>
      <c r="N32" s="13">
        <v>959</v>
      </c>
      <c r="O32" s="4">
        <f t="shared" si="4"/>
        <v>26.45</v>
      </c>
      <c r="P32" s="5">
        <v>37</v>
      </c>
      <c r="Q32" s="13">
        <v>979</v>
      </c>
      <c r="R32" s="4">
        <f t="shared" si="5"/>
        <v>34.630000000000003</v>
      </c>
      <c r="S32" s="5">
        <v>30</v>
      </c>
      <c r="T32" s="13">
        <v>1039</v>
      </c>
      <c r="U32" s="14"/>
      <c r="V32" s="8">
        <f t="shared" si="6"/>
        <v>43.85</v>
      </c>
      <c r="W32" s="9">
        <v>24</v>
      </c>
      <c r="X32" s="9">
        <v>1052</v>
      </c>
      <c r="Y32" s="15">
        <f t="shared" si="7"/>
        <v>54.2</v>
      </c>
      <c r="Z32" s="16">
        <v>18</v>
      </c>
      <c r="AA32" s="16">
        <v>976</v>
      </c>
      <c r="AB32" s="15">
        <f t="shared" si="8"/>
        <v>65.34</v>
      </c>
      <c r="AC32" s="17"/>
      <c r="AD32" s="18"/>
      <c r="AE32" s="15">
        <f t="shared" si="9"/>
        <v>77.86</v>
      </c>
      <c r="AF32" s="17"/>
      <c r="AG32" s="18"/>
      <c r="AH32" s="15">
        <f t="shared" si="10"/>
        <v>91.35</v>
      </c>
      <c r="AI32" s="17"/>
      <c r="AJ32" s="18"/>
      <c r="AK32" s="15">
        <f t="shared" si="11"/>
        <v>138.33000000000001</v>
      </c>
      <c r="AL32" s="17"/>
      <c r="AM32" s="18"/>
    </row>
    <row r="33" spans="2:39" ht="30" customHeight="1" x14ac:dyDescent="0.3">
      <c r="B33" s="11">
        <v>8.7999999999999901</v>
      </c>
      <c r="C33" s="12">
        <f t="shared" si="0"/>
        <v>4.93</v>
      </c>
      <c r="D33" s="5">
        <v>210</v>
      </c>
      <c r="E33" s="6">
        <v>1035</v>
      </c>
      <c r="F33" s="4">
        <f t="shared" si="1"/>
        <v>8.76</v>
      </c>
      <c r="G33" s="5">
        <v>120</v>
      </c>
      <c r="H33" s="13">
        <v>1051</v>
      </c>
      <c r="I33" s="4">
        <f t="shared" si="2"/>
        <v>13.73</v>
      </c>
      <c r="J33" s="5">
        <v>75</v>
      </c>
      <c r="K33" s="13">
        <v>1030</v>
      </c>
      <c r="L33" s="4">
        <f t="shared" si="3"/>
        <v>19.8</v>
      </c>
      <c r="M33" s="5">
        <v>49</v>
      </c>
      <c r="N33" s="13">
        <v>970</v>
      </c>
      <c r="O33" s="4">
        <f t="shared" si="4"/>
        <v>26.75</v>
      </c>
      <c r="P33" s="5">
        <v>37</v>
      </c>
      <c r="Q33" s="13">
        <v>990</v>
      </c>
      <c r="R33" s="4">
        <f t="shared" si="5"/>
        <v>35.020000000000003</v>
      </c>
      <c r="S33" s="5">
        <v>30</v>
      </c>
      <c r="T33" s="13">
        <v>1051</v>
      </c>
      <c r="U33" s="14"/>
      <c r="V33" s="8">
        <f t="shared" si="6"/>
        <v>44.35</v>
      </c>
      <c r="W33" s="9">
        <v>24</v>
      </c>
      <c r="X33" s="9">
        <v>1064</v>
      </c>
      <c r="Y33" s="15">
        <f t="shared" si="7"/>
        <v>54.82</v>
      </c>
      <c r="Z33" s="16">
        <v>18</v>
      </c>
      <c r="AA33" s="16">
        <v>987</v>
      </c>
      <c r="AB33" s="15">
        <f t="shared" si="8"/>
        <v>66.09</v>
      </c>
      <c r="AC33" s="17"/>
      <c r="AD33" s="18"/>
      <c r="AE33" s="15">
        <f t="shared" si="9"/>
        <v>78.760000000000005</v>
      </c>
      <c r="AF33" s="17"/>
      <c r="AG33" s="18"/>
      <c r="AH33" s="15">
        <f t="shared" si="10"/>
        <v>92.4</v>
      </c>
      <c r="AI33" s="17">
        <v>11</v>
      </c>
      <c r="AJ33" s="18">
        <v>1016</v>
      </c>
      <c r="AK33" s="15">
        <f t="shared" si="11"/>
        <v>139.91999999999999</v>
      </c>
      <c r="AL33" s="17"/>
      <c r="AM33" s="18"/>
    </row>
    <row r="34" spans="2:39" ht="30" customHeight="1" x14ac:dyDescent="0.3">
      <c r="B34" s="11">
        <v>8.8999999999999897</v>
      </c>
      <c r="C34" s="12">
        <f t="shared" si="0"/>
        <v>4.9800000000000004</v>
      </c>
      <c r="D34" s="5">
        <v>210</v>
      </c>
      <c r="E34" s="6">
        <v>1046</v>
      </c>
      <c r="F34" s="4">
        <f t="shared" si="1"/>
        <v>8.86</v>
      </c>
      <c r="G34" s="5">
        <v>120</v>
      </c>
      <c r="H34" s="13">
        <v>1063</v>
      </c>
      <c r="I34" s="4">
        <f t="shared" si="2"/>
        <v>13.88</v>
      </c>
      <c r="J34" s="5">
        <v>75</v>
      </c>
      <c r="K34" s="13">
        <v>1041</v>
      </c>
      <c r="L34" s="4">
        <f t="shared" si="3"/>
        <v>20.03</v>
      </c>
      <c r="M34" s="5">
        <v>49</v>
      </c>
      <c r="N34" s="13">
        <v>981</v>
      </c>
      <c r="O34" s="4">
        <f t="shared" si="4"/>
        <v>27.06</v>
      </c>
      <c r="P34" s="5">
        <v>37</v>
      </c>
      <c r="Q34" s="13">
        <v>1001</v>
      </c>
      <c r="R34" s="4">
        <f t="shared" si="5"/>
        <v>35.42</v>
      </c>
      <c r="S34" s="5">
        <v>30</v>
      </c>
      <c r="T34" s="13">
        <v>1063</v>
      </c>
      <c r="U34" s="14"/>
      <c r="V34" s="8">
        <f t="shared" si="6"/>
        <v>44.86</v>
      </c>
      <c r="W34" s="9">
        <v>24</v>
      </c>
      <c r="X34" s="9">
        <v>1077</v>
      </c>
      <c r="Y34" s="15">
        <f t="shared" si="7"/>
        <v>55.45</v>
      </c>
      <c r="Z34" s="16">
        <v>18</v>
      </c>
      <c r="AA34" s="16">
        <v>998</v>
      </c>
      <c r="AB34" s="15">
        <f t="shared" si="8"/>
        <v>66.84</v>
      </c>
      <c r="AC34" s="17"/>
      <c r="AD34" s="18"/>
      <c r="AE34" s="15">
        <f t="shared" si="9"/>
        <v>79.650000000000006</v>
      </c>
      <c r="AF34" s="17"/>
      <c r="AG34" s="18"/>
      <c r="AH34" s="15">
        <f t="shared" si="10"/>
        <v>93.45</v>
      </c>
      <c r="AI34" s="17"/>
      <c r="AJ34" s="18"/>
      <c r="AK34" s="15">
        <f t="shared" si="11"/>
        <v>141.51</v>
      </c>
      <c r="AL34" s="17"/>
      <c r="AM34" s="18"/>
    </row>
    <row r="35" spans="2:39" ht="30" customHeight="1" x14ac:dyDescent="0.3">
      <c r="B35" s="11">
        <v>8.9999999999999893</v>
      </c>
      <c r="C35" s="12">
        <f t="shared" si="0"/>
        <v>5.04</v>
      </c>
      <c r="D35" s="5">
        <v>210</v>
      </c>
      <c r="E35" s="6">
        <v>1058</v>
      </c>
      <c r="F35" s="4">
        <f t="shared" si="1"/>
        <v>8.9499999999999993</v>
      </c>
      <c r="G35" s="5">
        <v>120</v>
      </c>
      <c r="H35" s="13">
        <v>1075</v>
      </c>
      <c r="I35" s="4">
        <f t="shared" si="2"/>
        <v>14.04</v>
      </c>
      <c r="J35" s="5">
        <v>75</v>
      </c>
      <c r="K35" s="13">
        <v>1053</v>
      </c>
      <c r="L35" s="4">
        <f t="shared" si="3"/>
        <v>20.25</v>
      </c>
      <c r="M35" s="5">
        <v>49</v>
      </c>
      <c r="N35" s="13">
        <v>992</v>
      </c>
      <c r="O35" s="4">
        <f t="shared" si="4"/>
        <v>27.36</v>
      </c>
      <c r="P35" s="5">
        <v>37</v>
      </c>
      <c r="Q35" s="13">
        <v>1012</v>
      </c>
      <c r="R35" s="4">
        <f t="shared" si="5"/>
        <v>35.82</v>
      </c>
      <c r="S35" s="5">
        <v>28</v>
      </c>
      <c r="T35" s="13">
        <v>1003</v>
      </c>
      <c r="U35" s="14"/>
      <c r="V35" s="8">
        <f t="shared" si="6"/>
        <v>45.36</v>
      </c>
      <c r="W35" s="9">
        <v>22</v>
      </c>
      <c r="X35" s="9">
        <v>998</v>
      </c>
      <c r="Y35" s="15">
        <f t="shared" si="7"/>
        <v>56.07</v>
      </c>
      <c r="Z35" s="16">
        <v>18</v>
      </c>
      <c r="AA35" s="16">
        <v>1009</v>
      </c>
      <c r="AB35" s="15">
        <f t="shared" si="8"/>
        <v>67.59</v>
      </c>
      <c r="AC35" s="17">
        <v>15</v>
      </c>
      <c r="AD35" s="18">
        <v>1014</v>
      </c>
      <c r="AE35" s="15">
        <f t="shared" si="9"/>
        <v>80.55</v>
      </c>
      <c r="AF35" s="17">
        <v>12</v>
      </c>
      <c r="AG35" s="17">
        <v>967</v>
      </c>
      <c r="AH35" s="15">
        <f t="shared" si="10"/>
        <v>94.5</v>
      </c>
      <c r="AI35" s="17">
        <v>11</v>
      </c>
      <c r="AJ35" s="18">
        <v>1040</v>
      </c>
      <c r="AK35" s="15">
        <f t="shared" si="11"/>
        <v>143.1</v>
      </c>
      <c r="AL35" s="17">
        <v>7</v>
      </c>
      <c r="AM35" s="19">
        <v>1001.5</v>
      </c>
    </row>
    <row r="36" spans="2:39" ht="30" customHeight="1" x14ac:dyDescent="0.3">
      <c r="B36" s="11">
        <v>9.0999999999999908</v>
      </c>
      <c r="C36" s="12">
        <f t="shared" si="0"/>
        <v>5.0999999999999996</v>
      </c>
      <c r="D36" s="5">
        <v>210</v>
      </c>
      <c r="E36" s="6">
        <v>1071</v>
      </c>
      <c r="F36" s="4">
        <f t="shared" si="1"/>
        <v>9.0500000000000007</v>
      </c>
      <c r="G36" s="5">
        <v>112</v>
      </c>
      <c r="H36" s="13">
        <v>1014</v>
      </c>
      <c r="I36" s="4">
        <f t="shared" si="2"/>
        <v>14.2</v>
      </c>
      <c r="J36" s="5">
        <v>70</v>
      </c>
      <c r="K36" s="13">
        <v>994</v>
      </c>
      <c r="L36" s="4">
        <f t="shared" si="3"/>
        <v>20.48</v>
      </c>
      <c r="M36" s="5">
        <v>49</v>
      </c>
      <c r="N36" s="13">
        <v>1004</v>
      </c>
      <c r="O36" s="4">
        <f t="shared" si="4"/>
        <v>27.66</v>
      </c>
      <c r="P36" s="5">
        <v>37</v>
      </c>
      <c r="Q36" s="13">
        <v>1023</v>
      </c>
      <c r="R36" s="4">
        <f t="shared" si="5"/>
        <v>36.22</v>
      </c>
      <c r="S36" s="5">
        <v>28</v>
      </c>
      <c r="T36" s="13">
        <v>1014</v>
      </c>
      <c r="U36" s="14"/>
      <c r="V36" s="8">
        <f t="shared" si="6"/>
        <v>45.86</v>
      </c>
      <c r="W36" s="9">
        <v>22</v>
      </c>
      <c r="X36" s="9">
        <v>1009</v>
      </c>
      <c r="Y36" s="15">
        <f t="shared" si="7"/>
        <v>56.69</v>
      </c>
      <c r="Z36" s="16">
        <v>18</v>
      </c>
      <c r="AA36" s="16">
        <v>1020</v>
      </c>
      <c r="AB36" s="15">
        <f t="shared" si="8"/>
        <v>68.34</v>
      </c>
      <c r="AC36" s="17"/>
      <c r="AD36" s="18"/>
      <c r="AE36" s="15">
        <f t="shared" si="9"/>
        <v>81.44</v>
      </c>
      <c r="AF36" s="17"/>
      <c r="AG36" s="17"/>
      <c r="AH36" s="15">
        <f t="shared" si="10"/>
        <v>95.55</v>
      </c>
      <c r="AI36" s="17"/>
      <c r="AJ36" s="18"/>
      <c r="AK36" s="15">
        <f t="shared" si="11"/>
        <v>144.69</v>
      </c>
      <c r="AL36" s="17"/>
      <c r="AM36" s="18"/>
    </row>
    <row r="37" spans="2:39" ht="30" customHeight="1" x14ac:dyDescent="0.3">
      <c r="B37" s="11">
        <v>9.1999999999999904</v>
      </c>
      <c r="C37" s="12">
        <f t="shared" si="0"/>
        <v>5.15</v>
      </c>
      <c r="D37" s="5">
        <v>210</v>
      </c>
      <c r="E37" s="6">
        <v>1082</v>
      </c>
      <c r="F37" s="4">
        <f t="shared" si="1"/>
        <v>9.15</v>
      </c>
      <c r="G37" s="5">
        <v>112</v>
      </c>
      <c r="H37" s="13">
        <v>1025</v>
      </c>
      <c r="I37" s="4">
        <f t="shared" si="2"/>
        <v>14.35</v>
      </c>
      <c r="J37" s="5">
        <v>70</v>
      </c>
      <c r="K37" s="13">
        <v>1005</v>
      </c>
      <c r="L37" s="4">
        <f t="shared" si="3"/>
        <v>20.7</v>
      </c>
      <c r="M37" s="5">
        <v>49</v>
      </c>
      <c r="N37" s="13">
        <v>1014</v>
      </c>
      <c r="O37" s="4">
        <f t="shared" si="4"/>
        <v>27.97</v>
      </c>
      <c r="P37" s="5">
        <v>37</v>
      </c>
      <c r="Q37" s="13">
        <v>1035</v>
      </c>
      <c r="R37" s="4">
        <f t="shared" si="5"/>
        <v>36.619999999999997</v>
      </c>
      <c r="S37" s="5">
        <v>28</v>
      </c>
      <c r="T37" s="13">
        <v>1025</v>
      </c>
      <c r="U37" s="14"/>
      <c r="V37" s="8">
        <f t="shared" si="6"/>
        <v>46.37</v>
      </c>
      <c r="W37" s="9">
        <v>22</v>
      </c>
      <c r="X37" s="9">
        <v>1020</v>
      </c>
      <c r="Y37" s="15">
        <f t="shared" si="7"/>
        <v>57.32</v>
      </c>
      <c r="Z37" s="16">
        <v>18</v>
      </c>
      <c r="AA37" s="16">
        <v>1032</v>
      </c>
      <c r="AB37" s="15">
        <f t="shared" si="8"/>
        <v>69.09</v>
      </c>
      <c r="AC37" s="17"/>
      <c r="AD37" s="18"/>
      <c r="AE37" s="15">
        <f t="shared" si="9"/>
        <v>82.34</v>
      </c>
      <c r="AF37" s="17"/>
      <c r="AG37" s="17"/>
      <c r="AH37" s="15">
        <f t="shared" si="10"/>
        <v>96.6</v>
      </c>
      <c r="AI37" s="17"/>
      <c r="AJ37" s="18"/>
      <c r="AK37" s="15">
        <f t="shared" si="11"/>
        <v>146.28</v>
      </c>
      <c r="AL37" s="17"/>
      <c r="AM37" s="18"/>
    </row>
    <row r="38" spans="2:39" ht="30" customHeight="1" x14ac:dyDescent="0.3">
      <c r="B38" s="11">
        <v>9.2999999999999901</v>
      </c>
      <c r="C38" s="12">
        <f t="shared" si="0"/>
        <v>5.21</v>
      </c>
      <c r="D38" s="5">
        <v>210</v>
      </c>
      <c r="E38" s="6">
        <v>1094</v>
      </c>
      <c r="F38" s="4">
        <f t="shared" si="1"/>
        <v>9.25</v>
      </c>
      <c r="G38" s="5">
        <v>112</v>
      </c>
      <c r="H38" s="13">
        <v>1036</v>
      </c>
      <c r="I38" s="4">
        <f t="shared" si="2"/>
        <v>14.51</v>
      </c>
      <c r="J38" s="5">
        <v>70</v>
      </c>
      <c r="K38" s="13">
        <v>1016</v>
      </c>
      <c r="L38" s="4">
        <f t="shared" si="3"/>
        <v>20.93</v>
      </c>
      <c r="M38" s="5">
        <v>49</v>
      </c>
      <c r="N38" s="13">
        <v>1026</v>
      </c>
      <c r="O38" s="4">
        <f t="shared" si="4"/>
        <v>28.27</v>
      </c>
      <c r="P38" s="5">
        <v>37</v>
      </c>
      <c r="Q38" s="13">
        <v>1046</v>
      </c>
      <c r="R38" s="4">
        <f t="shared" si="5"/>
        <v>37.01</v>
      </c>
      <c r="S38" s="5">
        <v>28</v>
      </c>
      <c r="T38" s="13">
        <v>1036</v>
      </c>
      <c r="U38" s="14"/>
      <c r="V38" s="8">
        <f t="shared" si="6"/>
        <v>46.87</v>
      </c>
      <c r="W38" s="9">
        <v>22</v>
      </c>
      <c r="X38" s="9">
        <v>1031</v>
      </c>
      <c r="Y38" s="15">
        <f t="shared" si="7"/>
        <v>57.94</v>
      </c>
      <c r="Z38" s="16">
        <v>18</v>
      </c>
      <c r="AA38" s="16">
        <v>1043</v>
      </c>
      <c r="AB38" s="15">
        <f t="shared" si="8"/>
        <v>69.84</v>
      </c>
      <c r="AC38" s="17"/>
      <c r="AD38" s="18"/>
      <c r="AE38" s="15">
        <f t="shared" si="9"/>
        <v>83.23</v>
      </c>
      <c r="AF38" s="17"/>
      <c r="AG38" s="17"/>
      <c r="AH38" s="15">
        <f t="shared" si="10"/>
        <v>97.65</v>
      </c>
      <c r="AI38" s="17"/>
      <c r="AJ38" s="18"/>
      <c r="AK38" s="15">
        <f t="shared" si="11"/>
        <v>147.87</v>
      </c>
      <c r="AL38" s="17"/>
      <c r="AM38" s="18"/>
    </row>
    <row r="39" spans="2:39" ht="30" customHeight="1" x14ac:dyDescent="0.3">
      <c r="B39" s="11">
        <v>9.3999999999999897</v>
      </c>
      <c r="C39" s="12">
        <f t="shared" si="0"/>
        <v>5.26</v>
      </c>
      <c r="D39" s="5">
        <v>180</v>
      </c>
      <c r="E39" s="6">
        <v>947</v>
      </c>
      <c r="F39" s="4">
        <f t="shared" si="1"/>
        <v>9.35</v>
      </c>
      <c r="G39" s="5">
        <v>112</v>
      </c>
      <c r="H39" s="13">
        <v>1047</v>
      </c>
      <c r="I39" s="4">
        <f t="shared" si="2"/>
        <v>14.66</v>
      </c>
      <c r="J39" s="5">
        <v>70</v>
      </c>
      <c r="K39" s="13">
        <v>1026</v>
      </c>
      <c r="L39" s="4">
        <f t="shared" si="3"/>
        <v>21.15</v>
      </c>
      <c r="M39" s="5">
        <v>45</v>
      </c>
      <c r="N39" s="13">
        <v>952</v>
      </c>
      <c r="O39" s="4">
        <f t="shared" si="4"/>
        <v>28.58</v>
      </c>
      <c r="P39" s="5">
        <v>37</v>
      </c>
      <c r="Q39" s="13">
        <v>1057</v>
      </c>
      <c r="R39" s="4">
        <f t="shared" si="5"/>
        <v>37.409999999999997</v>
      </c>
      <c r="S39" s="5">
        <v>28</v>
      </c>
      <c r="T39" s="13">
        <v>1047</v>
      </c>
      <c r="U39" s="14"/>
      <c r="V39" s="8">
        <f t="shared" si="6"/>
        <v>47.38</v>
      </c>
      <c r="W39" s="9">
        <v>22</v>
      </c>
      <c r="X39" s="9">
        <v>1042</v>
      </c>
      <c r="Y39" s="15">
        <f t="shared" si="7"/>
        <v>58.56</v>
      </c>
      <c r="Z39" s="16">
        <v>18</v>
      </c>
      <c r="AA39" s="16">
        <v>1054</v>
      </c>
      <c r="AB39" s="15">
        <f t="shared" si="8"/>
        <v>70.59</v>
      </c>
      <c r="AC39" s="17"/>
      <c r="AD39" s="18"/>
      <c r="AE39" s="15">
        <f t="shared" si="9"/>
        <v>84.13</v>
      </c>
      <c r="AF39" s="17"/>
      <c r="AG39" s="17"/>
      <c r="AH39" s="15">
        <f t="shared" si="10"/>
        <v>98.7</v>
      </c>
      <c r="AI39" s="17">
        <v>11</v>
      </c>
      <c r="AJ39" s="18">
        <v>1086</v>
      </c>
      <c r="AK39" s="15">
        <f t="shared" si="11"/>
        <v>149.46</v>
      </c>
      <c r="AL39" s="17"/>
      <c r="AM39" s="18"/>
    </row>
    <row r="40" spans="2:39" ht="30" customHeight="1" x14ac:dyDescent="0.3">
      <c r="B40" s="11">
        <v>9.4999999999999893</v>
      </c>
      <c r="C40" s="12">
        <f t="shared" si="0"/>
        <v>5.32</v>
      </c>
      <c r="D40" s="5">
        <v>180</v>
      </c>
      <c r="E40" s="6">
        <v>958</v>
      </c>
      <c r="F40" s="4">
        <f t="shared" si="1"/>
        <v>9.4499999999999993</v>
      </c>
      <c r="G40" s="5">
        <v>104</v>
      </c>
      <c r="H40" s="13">
        <v>983</v>
      </c>
      <c r="I40" s="4">
        <f t="shared" si="2"/>
        <v>14.82</v>
      </c>
      <c r="J40" s="5">
        <v>70</v>
      </c>
      <c r="K40" s="13">
        <v>1037</v>
      </c>
      <c r="L40" s="4">
        <f t="shared" si="3"/>
        <v>21.38</v>
      </c>
      <c r="M40" s="5">
        <v>45</v>
      </c>
      <c r="N40" s="13">
        <v>962</v>
      </c>
      <c r="O40" s="4">
        <f t="shared" si="4"/>
        <v>28.88</v>
      </c>
      <c r="P40" s="5">
        <v>33</v>
      </c>
      <c r="Q40" s="13">
        <v>953</v>
      </c>
      <c r="R40" s="4">
        <f t="shared" si="5"/>
        <v>37.81</v>
      </c>
      <c r="S40" s="5">
        <v>28</v>
      </c>
      <c r="T40" s="13">
        <v>1059</v>
      </c>
      <c r="U40" s="14"/>
      <c r="V40" s="8">
        <f t="shared" si="6"/>
        <v>47.88</v>
      </c>
      <c r="W40" s="9">
        <v>22</v>
      </c>
      <c r="X40" s="9">
        <v>1053</v>
      </c>
      <c r="Y40" s="15">
        <f t="shared" si="7"/>
        <v>59.18</v>
      </c>
      <c r="Z40" s="16">
        <v>18</v>
      </c>
      <c r="AA40" s="16">
        <v>1065</v>
      </c>
      <c r="AB40" s="15">
        <f t="shared" si="8"/>
        <v>71.34</v>
      </c>
      <c r="AC40" s="17"/>
      <c r="AD40" s="18"/>
      <c r="AE40" s="15">
        <f t="shared" si="9"/>
        <v>85.02</v>
      </c>
      <c r="AF40" s="17"/>
      <c r="AG40" s="17"/>
      <c r="AH40" s="15">
        <f t="shared" si="10"/>
        <v>99.75</v>
      </c>
      <c r="AI40" s="17"/>
      <c r="AJ40" s="18"/>
      <c r="AK40" s="15">
        <f t="shared" si="11"/>
        <v>151.05000000000001</v>
      </c>
      <c r="AL40" s="17"/>
      <c r="AM40" s="18"/>
    </row>
    <row r="41" spans="2:39" ht="30" customHeight="1" x14ac:dyDescent="0.3">
      <c r="B41" s="11">
        <v>9.5999999999999908</v>
      </c>
      <c r="C41" s="12">
        <f t="shared" si="0"/>
        <v>5.38</v>
      </c>
      <c r="D41" s="5">
        <v>180</v>
      </c>
      <c r="E41" s="6">
        <v>968</v>
      </c>
      <c r="F41" s="4">
        <f t="shared" si="1"/>
        <v>9.5500000000000007</v>
      </c>
      <c r="G41" s="5">
        <v>104</v>
      </c>
      <c r="H41" s="13">
        <v>993</v>
      </c>
      <c r="I41" s="4">
        <f t="shared" si="2"/>
        <v>14.98</v>
      </c>
      <c r="J41" s="5">
        <v>64</v>
      </c>
      <c r="K41" s="13">
        <v>959</v>
      </c>
      <c r="L41" s="4">
        <f t="shared" si="3"/>
        <v>21.6</v>
      </c>
      <c r="M41" s="5">
        <v>45</v>
      </c>
      <c r="N41" s="13">
        <v>972</v>
      </c>
      <c r="O41" s="4">
        <f t="shared" si="4"/>
        <v>29.18</v>
      </c>
      <c r="P41" s="5">
        <v>33</v>
      </c>
      <c r="Q41" s="13">
        <v>963</v>
      </c>
      <c r="R41" s="4">
        <f t="shared" si="5"/>
        <v>38.21</v>
      </c>
      <c r="S41" s="5">
        <v>28</v>
      </c>
      <c r="T41" s="13">
        <v>1070</v>
      </c>
      <c r="U41" s="14"/>
      <c r="V41" s="8">
        <f t="shared" si="6"/>
        <v>48.38</v>
      </c>
      <c r="W41" s="9">
        <v>22</v>
      </c>
      <c r="X41" s="9">
        <v>1064</v>
      </c>
      <c r="Y41" s="15">
        <f t="shared" si="7"/>
        <v>59.81</v>
      </c>
      <c r="Z41" s="16">
        <v>18</v>
      </c>
      <c r="AA41" s="16">
        <v>1077</v>
      </c>
      <c r="AB41" s="15">
        <f t="shared" si="8"/>
        <v>72.099999999999994</v>
      </c>
      <c r="AC41" s="17"/>
      <c r="AD41" s="18"/>
      <c r="AE41" s="15">
        <f t="shared" si="9"/>
        <v>85.92</v>
      </c>
      <c r="AF41" s="17"/>
      <c r="AG41" s="17"/>
      <c r="AH41" s="15">
        <f t="shared" si="10"/>
        <v>100.8</v>
      </c>
      <c r="AI41" s="17"/>
      <c r="AJ41" s="18"/>
      <c r="AK41" s="15">
        <f t="shared" si="11"/>
        <v>152.63999999999999</v>
      </c>
      <c r="AL41" s="17"/>
      <c r="AM41" s="18"/>
    </row>
    <row r="42" spans="2:39" ht="30" customHeight="1" x14ac:dyDescent="0.3">
      <c r="B42" s="11">
        <v>9.6999999999999904</v>
      </c>
      <c r="C42" s="12">
        <f t="shared" si="0"/>
        <v>5.43</v>
      </c>
      <c r="D42" s="5">
        <v>180</v>
      </c>
      <c r="E42" s="6">
        <v>977</v>
      </c>
      <c r="F42" s="4">
        <f t="shared" si="1"/>
        <v>9.65</v>
      </c>
      <c r="G42" s="5">
        <v>104</v>
      </c>
      <c r="H42" s="13">
        <v>1004</v>
      </c>
      <c r="I42" s="4">
        <f t="shared" si="2"/>
        <v>15.13</v>
      </c>
      <c r="J42" s="5">
        <v>64</v>
      </c>
      <c r="K42" s="13">
        <v>968</v>
      </c>
      <c r="L42" s="4">
        <f t="shared" si="3"/>
        <v>21.83</v>
      </c>
      <c r="M42" s="5">
        <v>45</v>
      </c>
      <c r="N42" s="13">
        <v>982</v>
      </c>
      <c r="O42" s="4">
        <f t="shared" si="4"/>
        <v>29.49</v>
      </c>
      <c r="P42" s="5">
        <v>33</v>
      </c>
      <c r="Q42" s="13">
        <v>973</v>
      </c>
      <c r="R42" s="4">
        <f t="shared" si="5"/>
        <v>38.61</v>
      </c>
      <c r="S42" s="5">
        <v>28</v>
      </c>
      <c r="T42" s="13">
        <v>1081</v>
      </c>
      <c r="U42" s="14"/>
      <c r="V42" s="8">
        <f t="shared" si="6"/>
        <v>48.89</v>
      </c>
      <c r="W42" s="9">
        <v>22</v>
      </c>
      <c r="X42" s="9">
        <v>1076</v>
      </c>
      <c r="Y42" s="15">
        <f t="shared" si="7"/>
        <v>60.43</v>
      </c>
      <c r="Z42" s="16">
        <v>16</v>
      </c>
      <c r="AA42" s="16">
        <v>967</v>
      </c>
      <c r="AB42" s="15">
        <f t="shared" si="8"/>
        <v>72.849999999999994</v>
      </c>
      <c r="AC42" s="17"/>
      <c r="AD42" s="18"/>
      <c r="AE42" s="15">
        <f t="shared" si="9"/>
        <v>86.81</v>
      </c>
      <c r="AF42" s="17"/>
      <c r="AG42" s="17"/>
      <c r="AH42" s="15">
        <f t="shared" si="10"/>
        <v>101.85</v>
      </c>
      <c r="AI42" s="17"/>
      <c r="AJ42" s="18"/>
      <c r="AK42" s="15">
        <f t="shared" si="11"/>
        <v>154.22999999999999</v>
      </c>
      <c r="AL42" s="17"/>
      <c r="AM42" s="18"/>
    </row>
    <row r="43" spans="2:39" ht="30" customHeight="1" x14ac:dyDescent="0.3">
      <c r="B43" s="11">
        <v>9.7999999999999901</v>
      </c>
      <c r="C43" s="12">
        <f t="shared" si="0"/>
        <v>5.49</v>
      </c>
      <c r="D43" s="5">
        <v>180</v>
      </c>
      <c r="E43" s="6">
        <v>988</v>
      </c>
      <c r="F43" s="4">
        <f t="shared" si="1"/>
        <v>9.75</v>
      </c>
      <c r="G43" s="5">
        <v>104</v>
      </c>
      <c r="H43" s="13">
        <v>1014</v>
      </c>
      <c r="I43" s="4">
        <f t="shared" si="2"/>
        <v>15.29</v>
      </c>
      <c r="J43" s="5">
        <v>64</v>
      </c>
      <c r="K43" s="13">
        <v>979</v>
      </c>
      <c r="L43" s="4">
        <f t="shared" si="3"/>
        <v>22.05</v>
      </c>
      <c r="M43" s="5">
        <v>45</v>
      </c>
      <c r="N43" s="13">
        <v>992</v>
      </c>
      <c r="O43" s="4">
        <f t="shared" si="4"/>
        <v>29.79</v>
      </c>
      <c r="P43" s="5">
        <v>33</v>
      </c>
      <c r="Q43" s="13">
        <v>983</v>
      </c>
      <c r="R43" s="4">
        <f t="shared" si="5"/>
        <v>39</v>
      </c>
      <c r="S43" s="5">
        <v>28</v>
      </c>
      <c r="T43" s="13">
        <v>1092</v>
      </c>
      <c r="U43" s="14"/>
      <c r="V43" s="8">
        <f t="shared" si="6"/>
        <v>49.39</v>
      </c>
      <c r="W43" s="9">
        <v>20</v>
      </c>
      <c r="X43" s="9">
        <v>988</v>
      </c>
      <c r="Y43" s="15">
        <f t="shared" si="7"/>
        <v>61.05</v>
      </c>
      <c r="Z43" s="16">
        <v>16</v>
      </c>
      <c r="AA43" s="16">
        <v>977</v>
      </c>
      <c r="AB43" s="15">
        <f t="shared" si="8"/>
        <v>73.599999999999994</v>
      </c>
      <c r="AC43" s="17"/>
      <c r="AD43" s="18"/>
      <c r="AE43" s="15">
        <f t="shared" si="9"/>
        <v>87.71</v>
      </c>
      <c r="AF43" s="17"/>
      <c r="AG43" s="17"/>
      <c r="AH43" s="15">
        <f t="shared" si="10"/>
        <v>102.9</v>
      </c>
      <c r="AI43" s="17"/>
      <c r="AJ43" s="18"/>
      <c r="AK43" s="15">
        <f t="shared" si="11"/>
        <v>155.82</v>
      </c>
      <c r="AL43" s="17"/>
      <c r="AM43" s="18"/>
    </row>
    <row r="44" spans="2:39" ht="30" customHeight="1" x14ac:dyDescent="0.3">
      <c r="B44" s="11">
        <v>9.8999999999999897</v>
      </c>
      <c r="C44" s="12">
        <f t="shared" si="0"/>
        <v>5.54</v>
      </c>
      <c r="D44" s="5">
        <v>180</v>
      </c>
      <c r="E44" s="6">
        <v>997</v>
      </c>
      <c r="F44" s="4">
        <f t="shared" si="1"/>
        <v>9.85</v>
      </c>
      <c r="G44" s="5">
        <v>104</v>
      </c>
      <c r="H44" s="13">
        <v>1024</v>
      </c>
      <c r="I44" s="4">
        <f t="shared" si="2"/>
        <v>15.44</v>
      </c>
      <c r="J44" s="5">
        <v>64</v>
      </c>
      <c r="K44" s="13">
        <v>988</v>
      </c>
      <c r="L44" s="4">
        <f t="shared" si="3"/>
        <v>22.28</v>
      </c>
      <c r="M44" s="5">
        <v>45</v>
      </c>
      <c r="N44" s="13">
        <v>1003</v>
      </c>
      <c r="O44" s="4">
        <f t="shared" si="4"/>
        <v>30.1</v>
      </c>
      <c r="P44" s="5">
        <v>33</v>
      </c>
      <c r="Q44" s="13">
        <v>993</v>
      </c>
      <c r="R44" s="4">
        <f t="shared" si="5"/>
        <v>39.4</v>
      </c>
      <c r="S44" s="5">
        <v>25</v>
      </c>
      <c r="T44" s="13">
        <v>985</v>
      </c>
      <c r="U44" s="14"/>
      <c r="V44" s="8">
        <f t="shared" si="6"/>
        <v>49.9</v>
      </c>
      <c r="W44" s="9">
        <v>20</v>
      </c>
      <c r="X44" s="9">
        <v>998</v>
      </c>
      <c r="Y44" s="15">
        <f t="shared" si="7"/>
        <v>61.68</v>
      </c>
      <c r="Z44" s="16">
        <v>16</v>
      </c>
      <c r="AA44" s="16">
        <v>987</v>
      </c>
      <c r="AB44" s="15">
        <f t="shared" si="8"/>
        <v>74.349999999999994</v>
      </c>
      <c r="AC44" s="17"/>
      <c r="AD44" s="18"/>
      <c r="AE44" s="15">
        <f t="shared" si="9"/>
        <v>88.6</v>
      </c>
      <c r="AF44" s="17"/>
      <c r="AG44" s="17"/>
      <c r="AH44" s="15">
        <f t="shared" si="10"/>
        <v>103.95</v>
      </c>
      <c r="AI44" s="17"/>
      <c r="AJ44" s="18"/>
      <c r="AK44" s="15">
        <f t="shared" si="11"/>
        <v>157.41</v>
      </c>
      <c r="AL44" s="17"/>
      <c r="AM44" s="18"/>
    </row>
    <row r="45" spans="2:39" ht="30" customHeight="1" x14ac:dyDescent="0.3">
      <c r="B45" s="11">
        <v>9.9999999999999893</v>
      </c>
      <c r="C45" s="12">
        <f t="shared" si="0"/>
        <v>5.6</v>
      </c>
      <c r="D45" s="5">
        <v>180</v>
      </c>
      <c r="E45" s="6">
        <v>1008</v>
      </c>
      <c r="F45" s="4">
        <f t="shared" si="1"/>
        <v>9.9499999999999993</v>
      </c>
      <c r="G45" s="5">
        <v>100</v>
      </c>
      <c r="H45" s="13">
        <v>995</v>
      </c>
      <c r="I45" s="4">
        <f t="shared" si="2"/>
        <v>15.6</v>
      </c>
      <c r="J45" s="5">
        <v>60</v>
      </c>
      <c r="K45" s="13">
        <v>936</v>
      </c>
      <c r="L45" s="4">
        <f t="shared" si="3"/>
        <v>22.5</v>
      </c>
      <c r="M45" s="5">
        <v>44</v>
      </c>
      <c r="N45" s="13">
        <v>990</v>
      </c>
      <c r="O45" s="4">
        <f t="shared" si="4"/>
        <v>30.4</v>
      </c>
      <c r="P45" s="5">
        <v>33</v>
      </c>
      <c r="Q45" s="13">
        <v>1003</v>
      </c>
      <c r="R45" s="4">
        <f t="shared" si="5"/>
        <v>39.799999999999997</v>
      </c>
      <c r="S45" s="5">
        <v>25</v>
      </c>
      <c r="T45" s="13">
        <v>995</v>
      </c>
      <c r="U45" s="14"/>
      <c r="V45" s="8">
        <f t="shared" si="6"/>
        <v>50.4</v>
      </c>
      <c r="W45" s="9">
        <v>20</v>
      </c>
      <c r="X45" s="9">
        <v>1008</v>
      </c>
      <c r="Y45" s="15">
        <f t="shared" si="7"/>
        <v>62.3</v>
      </c>
      <c r="Z45" s="16">
        <v>16</v>
      </c>
      <c r="AA45" s="16">
        <v>997</v>
      </c>
      <c r="AB45" s="15">
        <f t="shared" si="8"/>
        <v>75.099999999999994</v>
      </c>
      <c r="AC45" s="17">
        <v>13</v>
      </c>
      <c r="AD45" s="18">
        <v>976</v>
      </c>
      <c r="AE45" s="15">
        <f t="shared" si="9"/>
        <v>89.5</v>
      </c>
      <c r="AF45" s="17">
        <v>11</v>
      </c>
      <c r="AG45" s="17">
        <v>985</v>
      </c>
      <c r="AH45" s="15">
        <f t="shared" si="10"/>
        <v>105</v>
      </c>
      <c r="AI45" s="17">
        <v>10</v>
      </c>
      <c r="AJ45" s="18">
        <v>1050</v>
      </c>
      <c r="AK45" s="15">
        <f t="shared" si="11"/>
        <v>159</v>
      </c>
      <c r="AL45" s="17">
        <v>6</v>
      </c>
      <c r="AM45" s="18">
        <v>954</v>
      </c>
    </row>
    <row r="46" spans="2:39" ht="30" customHeight="1" x14ac:dyDescent="0.3">
      <c r="B46" s="11">
        <v>10.1</v>
      </c>
      <c r="C46" s="12">
        <f t="shared" si="0"/>
        <v>5.66</v>
      </c>
      <c r="D46" s="5">
        <v>180</v>
      </c>
      <c r="E46" s="6">
        <v>1019</v>
      </c>
      <c r="F46" s="4">
        <f t="shared" si="1"/>
        <v>10.050000000000001</v>
      </c>
      <c r="G46" s="5">
        <v>104</v>
      </c>
      <c r="H46" s="13">
        <v>1045</v>
      </c>
      <c r="I46" s="4">
        <f t="shared" si="2"/>
        <v>15.76</v>
      </c>
      <c r="J46" s="5">
        <v>60</v>
      </c>
      <c r="K46" s="13">
        <v>946</v>
      </c>
      <c r="L46" s="4">
        <f t="shared" si="3"/>
        <v>22.73</v>
      </c>
      <c r="M46" s="5">
        <v>44</v>
      </c>
      <c r="N46" s="13">
        <v>1000</v>
      </c>
      <c r="O46" s="4">
        <f t="shared" si="4"/>
        <v>30.7</v>
      </c>
      <c r="P46" s="5">
        <v>33</v>
      </c>
      <c r="Q46" s="13">
        <v>1013</v>
      </c>
      <c r="R46" s="4">
        <f t="shared" si="5"/>
        <v>40.200000000000003</v>
      </c>
      <c r="S46" s="5">
        <v>25</v>
      </c>
      <c r="T46" s="13">
        <v>1005</v>
      </c>
      <c r="U46" s="14"/>
      <c r="V46" s="8">
        <f t="shared" si="6"/>
        <v>50.9</v>
      </c>
      <c r="W46" s="9">
        <v>20</v>
      </c>
      <c r="X46" s="9">
        <v>1018</v>
      </c>
      <c r="Y46" s="15">
        <f t="shared" si="7"/>
        <v>62.92</v>
      </c>
      <c r="Z46" s="16">
        <v>16</v>
      </c>
      <c r="AA46" s="16">
        <v>1007</v>
      </c>
      <c r="AB46" s="15">
        <f t="shared" si="8"/>
        <v>75.849999999999994</v>
      </c>
      <c r="AC46" s="17"/>
      <c r="AD46" s="18"/>
      <c r="AE46" s="15">
        <f t="shared" si="9"/>
        <v>90.4</v>
      </c>
      <c r="AF46" s="17"/>
      <c r="AG46" s="17"/>
      <c r="AH46" s="15">
        <f t="shared" si="10"/>
        <v>106.05</v>
      </c>
      <c r="AI46" s="17"/>
      <c r="AJ46" s="18"/>
      <c r="AK46" s="15">
        <f t="shared" si="11"/>
        <v>160.59</v>
      </c>
      <c r="AL46" s="17"/>
      <c r="AM46" s="18"/>
    </row>
    <row r="47" spans="2:39" ht="30" customHeight="1" x14ac:dyDescent="0.3">
      <c r="B47" s="11">
        <v>10.199999999999999</v>
      </c>
      <c r="C47" s="12">
        <f t="shared" si="0"/>
        <v>5.71</v>
      </c>
      <c r="D47" s="5">
        <v>180</v>
      </c>
      <c r="E47" s="6">
        <v>1028</v>
      </c>
      <c r="F47" s="4">
        <f t="shared" si="1"/>
        <v>10.15</v>
      </c>
      <c r="G47" s="5">
        <v>96</v>
      </c>
      <c r="H47" s="13">
        <v>974</v>
      </c>
      <c r="I47" s="4">
        <f t="shared" si="2"/>
        <v>15.91</v>
      </c>
      <c r="J47" s="5">
        <v>60</v>
      </c>
      <c r="K47" s="13">
        <v>955</v>
      </c>
      <c r="L47" s="4">
        <f t="shared" si="3"/>
        <v>22.95</v>
      </c>
      <c r="M47" s="5">
        <v>44</v>
      </c>
      <c r="N47" s="13">
        <v>1010</v>
      </c>
      <c r="O47" s="4">
        <f t="shared" si="4"/>
        <v>31.01</v>
      </c>
      <c r="P47" s="5">
        <v>33</v>
      </c>
      <c r="Q47" s="13">
        <v>1023</v>
      </c>
      <c r="R47" s="4">
        <f t="shared" si="5"/>
        <v>40.6</v>
      </c>
      <c r="S47" s="5">
        <v>25</v>
      </c>
      <c r="T47" s="13">
        <v>1015</v>
      </c>
      <c r="U47" s="14"/>
      <c r="V47" s="8">
        <f t="shared" si="6"/>
        <v>51.41</v>
      </c>
      <c r="W47" s="9">
        <v>20</v>
      </c>
      <c r="X47" s="9">
        <v>1028</v>
      </c>
      <c r="Y47" s="15">
        <f t="shared" si="7"/>
        <v>63.55</v>
      </c>
      <c r="Z47" s="16">
        <v>16</v>
      </c>
      <c r="AA47" s="16">
        <v>1017</v>
      </c>
      <c r="AB47" s="15">
        <f t="shared" si="8"/>
        <v>76.599999999999994</v>
      </c>
      <c r="AC47" s="17"/>
      <c r="AD47" s="18"/>
      <c r="AE47" s="15">
        <f t="shared" si="9"/>
        <v>91.29</v>
      </c>
      <c r="AF47" s="17"/>
      <c r="AG47" s="17"/>
      <c r="AH47" s="15">
        <f t="shared" si="10"/>
        <v>107.1</v>
      </c>
      <c r="AI47" s="17"/>
      <c r="AJ47" s="18"/>
      <c r="AK47" s="15">
        <f t="shared" si="11"/>
        <v>162.18</v>
      </c>
      <c r="AL47" s="17"/>
      <c r="AM47" s="18"/>
    </row>
    <row r="48" spans="2:39" ht="30" customHeight="1" x14ac:dyDescent="0.3">
      <c r="B48" s="11">
        <v>10.3</v>
      </c>
      <c r="C48" s="12">
        <f t="shared" si="0"/>
        <v>5.77</v>
      </c>
      <c r="D48" s="5">
        <v>180</v>
      </c>
      <c r="E48" s="6">
        <v>1039</v>
      </c>
      <c r="F48" s="4">
        <f t="shared" si="1"/>
        <v>10.25</v>
      </c>
      <c r="G48" s="5">
        <v>96</v>
      </c>
      <c r="H48" s="13">
        <v>984</v>
      </c>
      <c r="I48" s="4">
        <f t="shared" si="2"/>
        <v>16.07</v>
      </c>
      <c r="J48" s="5">
        <v>60</v>
      </c>
      <c r="K48" s="13">
        <v>964</v>
      </c>
      <c r="L48" s="4">
        <f t="shared" si="3"/>
        <v>23.18</v>
      </c>
      <c r="M48" s="5">
        <v>44</v>
      </c>
      <c r="N48" s="13">
        <v>1020</v>
      </c>
      <c r="O48" s="4">
        <f t="shared" si="4"/>
        <v>31.31</v>
      </c>
      <c r="P48" s="5">
        <v>33</v>
      </c>
      <c r="Q48" s="13">
        <v>1033</v>
      </c>
      <c r="R48" s="4">
        <f t="shared" si="5"/>
        <v>40.99</v>
      </c>
      <c r="S48" s="5">
        <v>25</v>
      </c>
      <c r="T48" s="13">
        <v>1025</v>
      </c>
      <c r="U48" s="14"/>
      <c r="V48" s="8">
        <f t="shared" si="6"/>
        <v>51.91</v>
      </c>
      <c r="W48" s="9">
        <v>20</v>
      </c>
      <c r="X48" s="9">
        <v>1038</v>
      </c>
      <c r="Y48" s="15">
        <f t="shared" si="7"/>
        <v>64.17</v>
      </c>
      <c r="Z48" s="16">
        <v>16</v>
      </c>
      <c r="AA48" s="16">
        <v>1027</v>
      </c>
      <c r="AB48" s="15">
        <f t="shared" si="8"/>
        <v>77.349999999999994</v>
      </c>
      <c r="AC48" s="17"/>
      <c r="AD48" s="18"/>
      <c r="AE48" s="15">
        <f t="shared" si="9"/>
        <v>92.19</v>
      </c>
      <c r="AF48" s="17"/>
      <c r="AG48" s="17"/>
      <c r="AH48" s="15">
        <f t="shared" si="10"/>
        <v>108.15</v>
      </c>
      <c r="AI48" s="17"/>
      <c r="AJ48" s="18"/>
      <c r="AK48" s="15">
        <f t="shared" si="11"/>
        <v>163.77000000000001</v>
      </c>
      <c r="AL48" s="17"/>
      <c r="AM48" s="18"/>
    </row>
    <row r="49" spans="2:39" ht="30" customHeight="1" x14ac:dyDescent="0.3">
      <c r="B49" s="11">
        <v>10.4</v>
      </c>
      <c r="C49" s="12">
        <f t="shared" si="0"/>
        <v>5.82</v>
      </c>
      <c r="D49" s="5">
        <v>180</v>
      </c>
      <c r="E49" s="6">
        <v>1048</v>
      </c>
      <c r="F49" s="4">
        <f t="shared" si="1"/>
        <v>10.35</v>
      </c>
      <c r="G49" s="5">
        <v>96</v>
      </c>
      <c r="H49" s="13">
        <v>994</v>
      </c>
      <c r="I49" s="4">
        <f t="shared" si="2"/>
        <v>16.22</v>
      </c>
      <c r="J49" s="5">
        <v>60</v>
      </c>
      <c r="K49" s="13">
        <v>973</v>
      </c>
      <c r="L49" s="4">
        <f t="shared" si="3"/>
        <v>23.4</v>
      </c>
      <c r="M49" s="5">
        <v>44</v>
      </c>
      <c r="N49" s="13">
        <v>1030</v>
      </c>
      <c r="O49" s="4">
        <f t="shared" si="4"/>
        <v>31.62</v>
      </c>
      <c r="P49" s="5">
        <v>33</v>
      </c>
      <c r="Q49" s="13">
        <v>1043</v>
      </c>
      <c r="R49" s="4">
        <f t="shared" si="5"/>
        <v>41.39</v>
      </c>
      <c r="S49" s="5">
        <v>25</v>
      </c>
      <c r="T49" s="13">
        <v>1035</v>
      </c>
      <c r="U49" s="14"/>
      <c r="V49" s="8">
        <f t="shared" si="6"/>
        <v>52.42</v>
      </c>
      <c r="W49" s="9">
        <v>20</v>
      </c>
      <c r="X49" s="9">
        <v>1048</v>
      </c>
      <c r="Y49" s="15">
        <f t="shared" si="7"/>
        <v>64.790000000000006</v>
      </c>
      <c r="Z49" s="16">
        <v>16</v>
      </c>
      <c r="AA49" s="16">
        <v>1037</v>
      </c>
      <c r="AB49" s="15">
        <f t="shared" si="8"/>
        <v>78.099999999999994</v>
      </c>
      <c r="AC49" s="17">
        <v>13</v>
      </c>
      <c r="AD49" s="19">
        <v>1015.5</v>
      </c>
      <c r="AE49" s="15">
        <f t="shared" si="9"/>
        <v>93.08</v>
      </c>
      <c r="AF49" s="17"/>
      <c r="AG49" s="17"/>
      <c r="AH49" s="15">
        <f t="shared" si="10"/>
        <v>109.2</v>
      </c>
      <c r="AI49" s="17"/>
      <c r="AJ49" s="18"/>
      <c r="AK49" s="15">
        <f t="shared" si="11"/>
        <v>165.36</v>
      </c>
      <c r="AL49" s="17"/>
      <c r="AM49" s="18"/>
    </row>
    <row r="50" spans="2:39" ht="30" customHeight="1" x14ac:dyDescent="0.3">
      <c r="B50" s="11">
        <v>10.5</v>
      </c>
      <c r="C50" s="12">
        <f t="shared" si="0"/>
        <v>5.88</v>
      </c>
      <c r="D50" s="5">
        <v>180</v>
      </c>
      <c r="E50" s="6">
        <v>1058</v>
      </c>
      <c r="F50" s="4">
        <f t="shared" si="1"/>
        <v>10.45</v>
      </c>
      <c r="G50" s="5">
        <v>96</v>
      </c>
      <c r="H50" s="13">
        <v>1003</v>
      </c>
      <c r="I50" s="4">
        <f t="shared" si="2"/>
        <v>16.38</v>
      </c>
      <c r="J50" s="5">
        <v>60</v>
      </c>
      <c r="K50" s="13">
        <v>983</v>
      </c>
      <c r="L50" s="4">
        <f t="shared" si="3"/>
        <v>23.63</v>
      </c>
      <c r="M50" s="5">
        <v>44</v>
      </c>
      <c r="N50" s="13">
        <v>1040</v>
      </c>
      <c r="O50" s="4">
        <f t="shared" si="4"/>
        <v>31.92</v>
      </c>
      <c r="P50" s="5">
        <v>30</v>
      </c>
      <c r="Q50" s="13">
        <v>958</v>
      </c>
      <c r="R50" s="4">
        <f t="shared" si="5"/>
        <v>41.79</v>
      </c>
      <c r="S50" s="5">
        <v>25</v>
      </c>
      <c r="T50" s="13">
        <v>1045</v>
      </c>
      <c r="U50" s="14"/>
      <c r="V50" s="8">
        <f t="shared" si="6"/>
        <v>52.92</v>
      </c>
      <c r="W50" s="9">
        <v>20</v>
      </c>
      <c r="X50" s="9">
        <v>1058</v>
      </c>
      <c r="Y50" s="15">
        <f t="shared" si="7"/>
        <v>65.42</v>
      </c>
      <c r="Z50" s="16">
        <v>16</v>
      </c>
      <c r="AA50" s="16">
        <v>1047</v>
      </c>
      <c r="AB50" s="15">
        <f t="shared" si="8"/>
        <v>78.86</v>
      </c>
      <c r="AC50" s="17">
        <v>12</v>
      </c>
      <c r="AD50" s="19">
        <v>946.5</v>
      </c>
      <c r="AE50" s="15">
        <f t="shared" si="9"/>
        <v>93.98</v>
      </c>
      <c r="AF50" s="17"/>
      <c r="AG50" s="17"/>
      <c r="AH50" s="15">
        <f t="shared" si="10"/>
        <v>110.25</v>
      </c>
      <c r="AI50" s="17"/>
      <c r="AJ50" s="18"/>
      <c r="AK50" s="15">
        <f t="shared" si="11"/>
        <v>166.95</v>
      </c>
      <c r="AL50" s="17"/>
      <c r="AM50" s="18"/>
    </row>
    <row r="51" spans="2:39" ht="30" customHeight="1" x14ac:dyDescent="0.3">
      <c r="B51" s="11">
        <v>10.6</v>
      </c>
      <c r="C51" s="12">
        <f t="shared" si="0"/>
        <v>5.94</v>
      </c>
      <c r="D51" s="5">
        <v>160</v>
      </c>
      <c r="E51" s="6">
        <v>950</v>
      </c>
      <c r="F51" s="4">
        <f t="shared" si="1"/>
        <v>10.55</v>
      </c>
      <c r="G51" s="5">
        <v>96</v>
      </c>
      <c r="H51" s="13">
        <v>1013</v>
      </c>
      <c r="I51" s="4">
        <f t="shared" si="2"/>
        <v>16.54</v>
      </c>
      <c r="J51" s="5">
        <v>60</v>
      </c>
      <c r="K51" s="13">
        <v>992</v>
      </c>
      <c r="L51" s="4">
        <f t="shared" si="3"/>
        <v>23.85</v>
      </c>
      <c r="M51" s="5">
        <v>42</v>
      </c>
      <c r="N51" s="13">
        <v>1002</v>
      </c>
      <c r="O51" s="4">
        <f t="shared" si="4"/>
        <v>32.22</v>
      </c>
      <c r="P51" s="5">
        <v>30</v>
      </c>
      <c r="Q51" s="13">
        <v>967</v>
      </c>
      <c r="R51" s="4">
        <f t="shared" si="5"/>
        <v>42.19</v>
      </c>
      <c r="S51" s="5">
        <v>23</v>
      </c>
      <c r="T51" s="13">
        <v>970</v>
      </c>
      <c r="U51" s="14"/>
      <c r="V51" s="8">
        <f t="shared" si="6"/>
        <v>53.42</v>
      </c>
      <c r="W51" s="9">
        <v>20</v>
      </c>
      <c r="X51" s="9">
        <v>1068</v>
      </c>
      <c r="Y51" s="15">
        <f t="shared" si="7"/>
        <v>66.040000000000006</v>
      </c>
      <c r="Z51" s="16">
        <v>16</v>
      </c>
      <c r="AA51" s="16">
        <v>1057</v>
      </c>
      <c r="AB51" s="15">
        <f t="shared" si="8"/>
        <v>79.61</v>
      </c>
      <c r="AC51" s="17"/>
      <c r="AD51" s="19"/>
      <c r="AE51" s="15">
        <f t="shared" si="9"/>
        <v>94.87</v>
      </c>
      <c r="AF51" s="17"/>
      <c r="AG51" s="17"/>
      <c r="AH51" s="15">
        <f t="shared" si="10"/>
        <v>111.3</v>
      </c>
      <c r="AI51" s="17"/>
      <c r="AJ51" s="18"/>
      <c r="AK51" s="15">
        <f t="shared" si="11"/>
        <v>168.54</v>
      </c>
      <c r="AL51" s="17"/>
      <c r="AM51" s="18"/>
    </row>
    <row r="52" spans="2:39" ht="30" customHeight="1" x14ac:dyDescent="0.3">
      <c r="B52" s="11">
        <v>10.7</v>
      </c>
      <c r="C52" s="12">
        <f t="shared" si="0"/>
        <v>5.99</v>
      </c>
      <c r="D52" s="5">
        <v>160</v>
      </c>
      <c r="E52" s="6">
        <v>958</v>
      </c>
      <c r="F52" s="4">
        <f t="shared" si="1"/>
        <v>10.65</v>
      </c>
      <c r="G52" s="5">
        <v>96</v>
      </c>
      <c r="H52" s="13">
        <v>1022</v>
      </c>
      <c r="I52" s="4">
        <f t="shared" si="2"/>
        <v>16.690000000000001</v>
      </c>
      <c r="J52" s="5">
        <v>60</v>
      </c>
      <c r="K52" s="13">
        <v>1001</v>
      </c>
      <c r="L52" s="4">
        <f t="shared" si="3"/>
        <v>24.08</v>
      </c>
      <c r="M52" s="5">
        <v>42</v>
      </c>
      <c r="N52" s="13">
        <v>1011</v>
      </c>
      <c r="O52" s="4">
        <f t="shared" si="4"/>
        <v>32.53</v>
      </c>
      <c r="P52" s="5">
        <v>30</v>
      </c>
      <c r="Q52" s="13">
        <v>976</v>
      </c>
      <c r="R52" s="4">
        <f t="shared" si="5"/>
        <v>42.59</v>
      </c>
      <c r="S52" s="5">
        <v>23</v>
      </c>
      <c r="T52" s="13">
        <v>980</v>
      </c>
      <c r="U52" s="14"/>
      <c r="V52" s="8">
        <f t="shared" si="6"/>
        <v>53.93</v>
      </c>
      <c r="W52" s="9">
        <v>18</v>
      </c>
      <c r="X52" s="9">
        <v>971</v>
      </c>
      <c r="Y52" s="15">
        <f t="shared" si="7"/>
        <v>66.66</v>
      </c>
      <c r="Z52" s="16">
        <v>16</v>
      </c>
      <c r="AA52" s="16">
        <v>1067</v>
      </c>
      <c r="AB52" s="15">
        <f t="shared" si="8"/>
        <v>80.36</v>
      </c>
      <c r="AC52" s="17"/>
      <c r="AD52" s="19"/>
      <c r="AE52" s="15">
        <f t="shared" si="9"/>
        <v>95.77</v>
      </c>
      <c r="AF52" s="17"/>
      <c r="AG52" s="17"/>
      <c r="AH52" s="15">
        <f t="shared" si="10"/>
        <v>112.35</v>
      </c>
      <c r="AI52" s="17"/>
      <c r="AJ52" s="18"/>
      <c r="AK52" s="15">
        <f t="shared" si="11"/>
        <v>170.13</v>
      </c>
      <c r="AL52" s="17"/>
      <c r="AM52" s="18"/>
    </row>
    <row r="53" spans="2:39" ht="30" customHeight="1" x14ac:dyDescent="0.3">
      <c r="B53" s="11">
        <v>10.8</v>
      </c>
      <c r="C53" s="12">
        <f t="shared" si="0"/>
        <v>6.05</v>
      </c>
      <c r="D53" s="5">
        <v>160</v>
      </c>
      <c r="E53" s="6">
        <v>968</v>
      </c>
      <c r="F53" s="4">
        <f t="shared" si="1"/>
        <v>10.75</v>
      </c>
      <c r="G53" s="5">
        <v>96</v>
      </c>
      <c r="H53" s="13">
        <v>1032</v>
      </c>
      <c r="I53" s="4">
        <f t="shared" si="2"/>
        <v>16.850000000000001</v>
      </c>
      <c r="J53" s="5">
        <v>60</v>
      </c>
      <c r="K53" s="13">
        <v>1011</v>
      </c>
      <c r="L53" s="4">
        <f t="shared" si="3"/>
        <v>24.3</v>
      </c>
      <c r="M53" s="5">
        <v>42</v>
      </c>
      <c r="N53" s="13">
        <v>1021</v>
      </c>
      <c r="O53" s="4">
        <f t="shared" si="4"/>
        <v>32.83</v>
      </c>
      <c r="P53" s="5">
        <v>30</v>
      </c>
      <c r="Q53" s="13">
        <v>985</v>
      </c>
      <c r="R53" s="4">
        <f t="shared" si="5"/>
        <v>42.98</v>
      </c>
      <c r="S53" s="5">
        <v>23</v>
      </c>
      <c r="T53" s="13">
        <v>989</v>
      </c>
      <c r="U53" s="14"/>
      <c r="V53" s="8">
        <f t="shared" si="6"/>
        <v>54.43</v>
      </c>
      <c r="W53" s="9">
        <v>18</v>
      </c>
      <c r="X53" s="9">
        <v>980</v>
      </c>
      <c r="Y53" s="15">
        <f t="shared" si="7"/>
        <v>67.28</v>
      </c>
      <c r="Z53" s="16">
        <v>16</v>
      </c>
      <c r="AA53" s="16">
        <v>1076</v>
      </c>
      <c r="AB53" s="15">
        <f t="shared" si="8"/>
        <v>81.11</v>
      </c>
      <c r="AC53" s="17"/>
      <c r="AD53" s="19"/>
      <c r="AE53" s="15">
        <f t="shared" si="9"/>
        <v>96.66</v>
      </c>
      <c r="AF53" s="17"/>
      <c r="AG53" s="17"/>
      <c r="AH53" s="15">
        <f t="shared" si="10"/>
        <v>113.4</v>
      </c>
      <c r="AI53" s="17"/>
      <c r="AJ53" s="18"/>
      <c r="AK53" s="15">
        <f t="shared" si="11"/>
        <v>171.72</v>
      </c>
      <c r="AL53" s="17"/>
      <c r="AM53" s="18"/>
    </row>
    <row r="54" spans="2:39" ht="30" customHeight="1" x14ac:dyDescent="0.3">
      <c r="B54" s="11">
        <v>10.9</v>
      </c>
      <c r="C54" s="12">
        <f t="shared" si="0"/>
        <v>6.1</v>
      </c>
      <c r="D54" s="5">
        <v>160</v>
      </c>
      <c r="E54" s="6">
        <v>976</v>
      </c>
      <c r="F54" s="4">
        <f t="shared" si="1"/>
        <v>10.85</v>
      </c>
      <c r="G54" s="5">
        <v>96</v>
      </c>
      <c r="H54" s="13">
        <v>1042</v>
      </c>
      <c r="I54" s="4">
        <f t="shared" si="2"/>
        <v>17</v>
      </c>
      <c r="J54" s="5">
        <v>60</v>
      </c>
      <c r="K54" s="13">
        <v>1020</v>
      </c>
      <c r="L54" s="4">
        <f t="shared" si="3"/>
        <v>24.53</v>
      </c>
      <c r="M54" s="5">
        <v>42</v>
      </c>
      <c r="N54" s="13">
        <v>1030</v>
      </c>
      <c r="O54" s="4">
        <f t="shared" si="4"/>
        <v>33.14</v>
      </c>
      <c r="P54" s="5">
        <v>30</v>
      </c>
      <c r="Q54" s="13">
        <v>994</v>
      </c>
      <c r="R54" s="4">
        <f t="shared" si="5"/>
        <v>43.38</v>
      </c>
      <c r="S54" s="5">
        <v>23</v>
      </c>
      <c r="T54" s="13">
        <v>998</v>
      </c>
      <c r="U54" s="14"/>
      <c r="V54" s="8">
        <f t="shared" si="6"/>
        <v>54.94</v>
      </c>
      <c r="W54" s="9">
        <v>18</v>
      </c>
      <c r="X54" s="9">
        <v>989</v>
      </c>
      <c r="Y54" s="15">
        <f t="shared" si="7"/>
        <v>67.91</v>
      </c>
      <c r="Z54" s="16">
        <v>16</v>
      </c>
      <c r="AA54" s="16">
        <v>1087</v>
      </c>
      <c r="AB54" s="15">
        <f t="shared" si="8"/>
        <v>81.86</v>
      </c>
      <c r="AC54" s="17"/>
      <c r="AD54" s="19"/>
      <c r="AE54" s="15">
        <f t="shared" si="9"/>
        <v>97.56</v>
      </c>
      <c r="AF54" s="17"/>
      <c r="AG54" s="17"/>
      <c r="AH54" s="15">
        <f t="shared" si="10"/>
        <v>114.45</v>
      </c>
      <c r="AI54" s="17"/>
      <c r="AJ54" s="18"/>
      <c r="AK54" s="15">
        <f t="shared" si="11"/>
        <v>173.31</v>
      </c>
      <c r="AL54" s="17"/>
      <c r="AM54" s="18"/>
    </row>
    <row r="55" spans="2:39" ht="30" customHeight="1" x14ac:dyDescent="0.3">
      <c r="B55" s="11">
        <v>11</v>
      </c>
      <c r="C55" s="12">
        <f t="shared" si="0"/>
        <v>6.16</v>
      </c>
      <c r="D55" s="5">
        <v>150</v>
      </c>
      <c r="E55" s="6">
        <v>924</v>
      </c>
      <c r="F55" s="4">
        <f t="shared" si="1"/>
        <v>10.95</v>
      </c>
      <c r="G55" s="5">
        <v>100</v>
      </c>
      <c r="H55" s="13">
        <v>1095</v>
      </c>
      <c r="I55" s="4">
        <f t="shared" si="2"/>
        <v>17.16</v>
      </c>
      <c r="J55" s="5">
        <v>60</v>
      </c>
      <c r="K55" s="13">
        <v>1030</v>
      </c>
      <c r="L55" s="32">
        <f t="shared" si="3"/>
        <v>24.75</v>
      </c>
      <c r="M55" s="33">
        <v>40</v>
      </c>
      <c r="N55" s="34">
        <v>990</v>
      </c>
      <c r="O55" s="32">
        <f t="shared" si="4"/>
        <v>33.44</v>
      </c>
      <c r="P55" s="33">
        <v>30</v>
      </c>
      <c r="Q55" s="34">
        <v>1003</v>
      </c>
      <c r="R55" s="32">
        <f t="shared" si="5"/>
        <v>43.78</v>
      </c>
      <c r="S55" s="33">
        <v>23</v>
      </c>
      <c r="T55" s="34">
        <v>1007</v>
      </c>
      <c r="U55" s="14"/>
      <c r="V55" s="15">
        <f t="shared" si="6"/>
        <v>55.44</v>
      </c>
      <c r="W55" s="16">
        <v>36</v>
      </c>
      <c r="X55" s="16">
        <v>998</v>
      </c>
      <c r="Y55" s="15">
        <f t="shared" si="7"/>
        <v>68.53</v>
      </c>
      <c r="Z55" s="16">
        <v>15</v>
      </c>
      <c r="AA55" s="16">
        <v>1028</v>
      </c>
      <c r="AB55" s="15">
        <f t="shared" si="8"/>
        <v>82.61</v>
      </c>
      <c r="AC55" s="17">
        <v>12</v>
      </c>
      <c r="AD55" s="18">
        <v>991</v>
      </c>
      <c r="AE55" s="15">
        <f t="shared" si="9"/>
        <v>98.45</v>
      </c>
      <c r="AF55" s="17">
        <v>10</v>
      </c>
      <c r="AG55" s="17">
        <v>985</v>
      </c>
      <c r="AH55" s="15">
        <f t="shared" si="10"/>
        <v>115.5</v>
      </c>
      <c r="AI55" s="17">
        <v>9</v>
      </c>
      <c r="AJ55" s="18">
        <v>1040</v>
      </c>
      <c r="AK55" s="15">
        <f t="shared" si="11"/>
        <v>174.9</v>
      </c>
      <c r="AL55" s="17">
        <v>6</v>
      </c>
      <c r="AM55" s="19">
        <v>1049.5</v>
      </c>
    </row>
    <row r="56" spans="2:39" ht="30" customHeight="1" x14ac:dyDescent="0.3">
      <c r="B56" s="11">
        <v>11.1</v>
      </c>
      <c r="C56" s="12">
        <f t="shared" si="0"/>
        <v>6.22</v>
      </c>
      <c r="D56" s="5">
        <v>152</v>
      </c>
      <c r="E56" s="6">
        <v>945</v>
      </c>
      <c r="F56" s="4">
        <f t="shared" si="1"/>
        <v>11.04</v>
      </c>
      <c r="G56" s="5">
        <v>90</v>
      </c>
      <c r="H56" s="13">
        <v>994</v>
      </c>
      <c r="I56" s="4">
        <f t="shared" si="2"/>
        <v>17.32</v>
      </c>
      <c r="J56" s="5">
        <v>60</v>
      </c>
      <c r="K56" s="13">
        <v>1039</v>
      </c>
      <c r="L56" s="32">
        <f t="shared" si="3"/>
        <v>24.98</v>
      </c>
      <c r="M56" s="33">
        <v>40</v>
      </c>
      <c r="N56" s="34">
        <v>999</v>
      </c>
      <c r="O56" s="32">
        <f t="shared" si="4"/>
        <v>33.74</v>
      </c>
      <c r="P56" s="33">
        <v>30</v>
      </c>
      <c r="Q56" s="34">
        <v>1012</v>
      </c>
      <c r="R56" s="32">
        <f t="shared" si="5"/>
        <v>44.18</v>
      </c>
      <c r="S56" s="33">
        <v>23</v>
      </c>
      <c r="T56" s="34">
        <v>1016</v>
      </c>
      <c r="U56" s="14"/>
      <c r="V56" s="15">
        <f t="shared" si="6"/>
        <v>55.94</v>
      </c>
      <c r="W56" s="16">
        <v>36</v>
      </c>
      <c r="X56" s="16">
        <v>1007</v>
      </c>
      <c r="Y56" s="15">
        <f t="shared" si="7"/>
        <v>69.150000000000006</v>
      </c>
      <c r="Z56" s="16">
        <v>15</v>
      </c>
      <c r="AA56" s="16">
        <v>1037</v>
      </c>
      <c r="AB56" s="15">
        <f t="shared" si="8"/>
        <v>83.36</v>
      </c>
      <c r="AC56" s="17"/>
      <c r="AD56" s="18"/>
      <c r="AE56" s="15">
        <f t="shared" si="9"/>
        <v>99.35</v>
      </c>
      <c r="AF56" s="17"/>
      <c r="AG56" s="17"/>
      <c r="AH56" s="15">
        <f t="shared" si="10"/>
        <v>116.55</v>
      </c>
      <c r="AI56" s="17"/>
      <c r="AJ56" s="18"/>
      <c r="AK56" s="15">
        <f t="shared" si="11"/>
        <v>176.49</v>
      </c>
      <c r="AL56" s="17"/>
      <c r="AM56" s="18"/>
    </row>
    <row r="57" spans="2:39" ht="30" customHeight="1" x14ac:dyDescent="0.3">
      <c r="B57" s="11">
        <v>11.2</v>
      </c>
      <c r="C57" s="12">
        <f t="shared" si="0"/>
        <v>6.27</v>
      </c>
      <c r="D57" s="5">
        <v>152</v>
      </c>
      <c r="E57" s="6">
        <v>953</v>
      </c>
      <c r="F57" s="4">
        <f t="shared" si="1"/>
        <v>11.14</v>
      </c>
      <c r="G57" s="5">
        <v>90</v>
      </c>
      <c r="H57" s="13">
        <v>1003</v>
      </c>
      <c r="I57" s="4">
        <f t="shared" si="2"/>
        <v>17.47</v>
      </c>
      <c r="J57" s="5">
        <v>60</v>
      </c>
      <c r="K57" s="13">
        <v>1048</v>
      </c>
      <c r="L57" s="32">
        <f t="shared" si="3"/>
        <v>25.2</v>
      </c>
      <c r="M57" s="33">
        <v>40</v>
      </c>
      <c r="N57" s="34">
        <v>1008</v>
      </c>
      <c r="O57" s="32">
        <f t="shared" si="4"/>
        <v>34.049999999999997</v>
      </c>
      <c r="P57" s="33">
        <v>30</v>
      </c>
      <c r="Q57" s="34">
        <v>1022</v>
      </c>
      <c r="R57" s="32">
        <f t="shared" si="5"/>
        <v>44.58</v>
      </c>
      <c r="S57" s="33">
        <v>23</v>
      </c>
      <c r="T57" s="34">
        <v>1025</v>
      </c>
      <c r="U57" s="14"/>
      <c r="V57" s="15">
        <f t="shared" si="6"/>
        <v>56.45</v>
      </c>
      <c r="W57" s="16">
        <v>36</v>
      </c>
      <c r="X57" s="16">
        <v>1016</v>
      </c>
      <c r="Y57" s="15">
        <f t="shared" si="7"/>
        <v>69.78</v>
      </c>
      <c r="Z57" s="16">
        <v>15</v>
      </c>
      <c r="AA57" s="16">
        <v>1047</v>
      </c>
      <c r="AB57" s="15">
        <f t="shared" si="8"/>
        <v>84.11</v>
      </c>
      <c r="AC57" s="17"/>
      <c r="AD57" s="18"/>
      <c r="AE57" s="15">
        <f t="shared" si="9"/>
        <v>100.24</v>
      </c>
      <c r="AF57" s="17"/>
      <c r="AG57" s="17"/>
      <c r="AH57" s="15">
        <f t="shared" si="10"/>
        <v>117.6</v>
      </c>
      <c r="AI57" s="17"/>
      <c r="AJ57" s="18"/>
      <c r="AK57" s="15">
        <f t="shared" si="11"/>
        <v>178.08</v>
      </c>
      <c r="AL57" s="17"/>
      <c r="AM57" s="18"/>
    </row>
    <row r="58" spans="2:39" ht="30" customHeight="1" x14ac:dyDescent="0.3">
      <c r="B58" s="11">
        <v>11.3</v>
      </c>
      <c r="C58" s="12">
        <f t="shared" si="0"/>
        <v>6.33</v>
      </c>
      <c r="D58" s="5">
        <v>152</v>
      </c>
      <c r="E58" s="6">
        <v>962</v>
      </c>
      <c r="F58" s="4">
        <f t="shared" si="1"/>
        <v>11.24</v>
      </c>
      <c r="G58" s="5">
        <v>90</v>
      </c>
      <c r="H58" s="13">
        <v>1012</v>
      </c>
      <c r="I58" s="4">
        <f t="shared" si="2"/>
        <v>17.63</v>
      </c>
      <c r="J58" s="5">
        <v>60</v>
      </c>
      <c r="K58" s="13">
        <v>1058</v>
      </c>
      <c r="L58" s="32">
        <f t="shared" si="3"/>
        <v>25.43</v>
      </c>
      <c r="M58" s="33">
        <v>40</v>
      </c>
      <c r="N58" s="34">
        <v>1017</v>
      </c>
      <c r="O58" s="32">
        <f t="shared" si="4"/>
        <v>34.35</v>
      </c>
      <c r="P58" s="33">
        <v>30</v>
      </c>
      <c r="Q58" s="34">
        <v>1031</v>
      </c>
      <c r="R58" s="32">
        <f t="shared" si="5"/>
        <v>44.97</v>
      </c>
      <c r="S58" s="33">
        <v>23</v>
      </c>
      <c r="T58" s="34">
        <v>1034</v>
      </c>
      <c r="U58" s="14"/>
      <c r="V58" s="15">
        <f t="shared" si="6"/>
        <v>56.95</v>
      </c>
      <c r="W58" s="16">
        <v>36</v>
      </c>
      <c r="X58" s="16">
        <v>1025</v>
      </c>
      <c r="Y58" s="15">
        <f t="shared" si="7"/>
        <v>70.400000000000006</v>
      </c>
      <c r="Z58" s="16">
        <v>15</v>
      </c>
      <c r="AA58" s="16">
        <v>1056</v>
      </c>
      <c r="AB58" s="15">
        <f t="shared" si="8"/>
        <v>84.86</v>
      </c>
      <c r="AC58" s="17"/>
      <c r="AD58" s="18"/>
      <c r="AE58" s="15">
        <f t="shared" si="9"/>
        <v>101.14</v>
      </c>
      <c r="AF58" s="17"/>
      <c r="AG58" s="17"/>
      <c r="AH58" s="15">
        <f t="shared" si="10"/>
        <v>118.65</v>
      </c>
      <c r="AI58" s="17"/>
      <c r="AJ58" s="18"/>
      <c r="AK58" s="15">
        <f t="shared" si="11"/>
        <v>179.67</v>
      </c>
      <c r="AL58" s="17"/>
      <c r="AM58" s="18"/>
    </row>
    <row r="59" spans="2:39" ht="30" customHeight="1" x14ac:dyDescent="0.3">
      <c r="B59" s="11">
        <v>11.4</v>
      </c>
      <c r="C59" s="12">
        <f t="shared" si="0"/>
        <v>6.38</v>
      </c>
      <c r="D59" s="5">
        <v>152</v>
      </c>
      <c r="E59" s="6">
        <v>970</v>
      </c>
      <c r="F59" s="4">
        <f t="shared" si="1"/>
        <v>11.34</v>
      </c>
      <c r="G59" s="5">
        <v>90</v>
      </c>
      <c r="H59" s="13">
        <v>1021</v>
      </c>
      <c r="I59" s="4">
        <f t="shared" si="2"/>
        <v>17.78</v>
      </c>
      <c r="J59" s="5">
        <v>60</v>
      </c>
      <c r="K59" s="13">
        <v>1067</v>
      </c>
      <c r="L59" s="32">
        <f t="shared" si="3"/>
        <v>25.65</v>
      </c>
      <c r="M59" s="33">
        <v>40</v>
      </c>
      <c r="N59" s="34">
        <v>1026</v>
      </c>
      <c r="O59" s="32">
        <f t="shared" si="4"/>
        <v>34.659999999999997</v>
      </c>
      <c r="P59" s="33">
        <v>30</v>
      </c>
      <c r="Q59" s="34">
        <v>1040</v>
      </c>
      <c r="R59" s="32">
        <f t="shared" si="5"/>
        <v>45.37</v>
      </c>
      <c r="S59" s="33">
        <v>23</v>
      </c>
      <c r="T59" s="34">
        <v>1044</v>
      </c>
      <c r="U59" s="14"/>
      <c r="V59" s="15">
        <f t="shared" si="6"/>
        <v>57.46</v>
      </c>
      <c r="W59" s="16">
        <v>36</v>
      </c>
      <c r="X59" s="20">
        <v>1034.5</v>
      </c>
      <c r="Y59" s="15">
        <f t="shared" si="7"/>
        <v>71.02</v>
      </c>
      <c r="Z59" s="16">
        <v>15</v>
      </c>
      <c r="AA59" s="16">
        <v>1065</v>
      </c>
      <c r="AB59" s="15">
        <f t="shared" si="8"/>
        <v>85.61</v>
      </c>
      <c r="AC59" s="17">
        <v>11</v>
      </c>
      <c r="AD59" s="19">
        <v>941.5</v>
      </c>
      <c r="AE59" s="15">
        <f t="shared" si="9"/>
        <v>102.03</v>
      </c>
      <c r="AF59" s="17"/>
      <c r="AG59" s="17"/>
      <c r="AH59" s="15">
        <f t="shared" si="10"/>
        <v>119.7</v>
      </c>
      <c r="AI59" s="17"/>
      <c r="AJ59" s="18"/>
      <c r="AK59" s="15">
        <f t="shared" si="11"/>
        <v>181.26</v>
      </c>
      <c r="AL59" s="17"/>
      <c r="AM59" s="18"/>
    </row>
    <row r="60" spans="2:39" ht="30" customHeight="1" x14ac:dyDescent="0.3">
      <c r="B60" s="11">
        <v>11.5</v>
      </c>
      <c r="C60" s="12">
        <f t="shared" si="0"/>
        <v>6.44</v>
      </c>
      <c r="D60" s="5">
        <v>152</v>
      </c>
      <c r="E60" s="6">
        <v>979</v>
      </c>
      <c r="F60" s="4">
        <f t="shared" si="1"/>
        <v>11.44</v>
      </c>
      <c r="G60" s="5">
        <v>90</v>
      </c>
      <c r="H60" s="13">
        <v>1030</v>
      </c>
      <c r="I60" s="4">
        <f t="shared" si="2"/>
        <v>17.940000000000001</v>
      </c>
      <c r="J60" s="5">
        <v>60</v>
      </c>
      <c r="K60" s="13">
        <v>1076</v>
      </c>
      <c r="L60" s="32">
        <f t="shared" si="3"/>
        <v>25.88</v>
      </c>
      <c r="M60" s="33">
        <v>40</v>
      </c>
      <c r="N60" s="34">
        <v>1035</v>
      </c>
      <c r="O60" s="32">
        <f t="shared" si="4"/>
        <v>34.96</v>
      </c>
      <c r="P60" s="33">
        <v>30</v>
      </c>
      <c r="Q60" s="34">
        <v>1049</v>
      </c>
      <c r="R60" s="32">
        <f t="shared" si="5"/>
        <v>45.77</v>
      </c>
      <c r="S60" s="33">
        <v>23</v>
      </c>
      <c r="T60" s="34">
        <v>1053</v>
      </c>
      <c r="U60" s="14"/>
      <c r="V60" s="15">
        <f t="shared" si="6"/>
        <v>57.96</v>
      </c>
      <c r="W60" s="16">
        <v>36</v>
      </c>
      <c r="X60" s="20">
        <v>1043.5</v>
      </c>
      <c r="Y60" s="15">
        <f t="shared" si="7"/>
        <v>71.650000000000006</v>
      </c>
      <c r="Z60" s="16">
        <v>14</v>
      </c>
      <c r="AA60" s="16">
        <v>1003</v>
      </c>
      <c r="AB60" s="15">
        <f t="shared" si="8"/>
        <v>86.37</v>
      </c>
      <c r="AC60" s="17">
        <v>12</v>
      </c>
      <c r="AD60" s="19">
        <v>1036.5</v>
      </c>
      <c r="AE60" s="15">
        <f t="shared" si="9"/>
        <v>102.93</v>
      </c>
      <c r="AF60" s="17"/>
      <c r="AG60" s="17"/>
      <c r="AH60" s="15">
        <f t="shared" si="10"/>
        <v>120.75</v>
      </c>
      <c r="AI60" s="17"/>
      <c r="AJ60" s="18"/>
      <c r="AK60" s="15">
        <f t="shared" si="11"/>
        <v>182.85</v>
      </c>
      <c r="AL60" s="17"/>
      <c r="AM60" s="18"/>
    </row>
    <row r="61" spans="2:39" ht="30" customHeight="1" x14ac:dyDescent="0.3">
      <c r="B61" s="11">
        <v>11.6</v>
      </c>
      <c r="C61" s="12">
        <f t="shared" si="0"/>
        <v>6.5</v>
      </c>
      <c r="D61" s="5">
        <v>152</v>
      </c>
      <c r="E61" s="6">
        <v>988</v>
      </c>
      <c r="F61" s="4">
        <f t="shared" si="1"/>
        <v>11.54</v>
      </c>
      <c r="G61" s="5">
        <v>90</v>
      </c>
      <c r="H61" s="13">
        <v>1039</v>
      </c>
      <c r="I61" s="4">
        <f t="shared" si="2"/>
        <v>18.100000000000001</v>
      </c>
      <c r="J61" s="5">
        <v>60</v>
      </c>
      <c r="K61" s="13">
        <v>1086</v>
      </c>
      <c r="L61" s="32">
        <f t="shared" si="3"/>
        <v>26.1</v>
      </c>
      <c r="M61" s="33">
        <v>37</v>
      </c>
      <c r="N61" s="34">
        <v>966</v>
      </c>
      <c r="O61" s="32">
        <f t="shared" si="4"/>
        <v>35.26</v>
      </c>
      <c r="P61" s="33">
        <v>27</v>
      </c>
      <c r="Q61" s="34">
        <v>952</v>
      </c>
      <c r="R61" s="32">
        <f t="shared" si="5"/>
        <v>46.17</v>
      </c>
      <c r="S61" s="33">
        <v>21</v>
      </c>
      <c r="T61" s="34">
        <v>970</v>
      </c>
      <c r="U61" s="14"/>
      <c r="V61" s="15">
        <f t="shared" si="6"/>
        <v>58.46</v>
      </c>
      <c r="W61" s="16">
        <v>36</v>
      </c>
      <c r="X61" s="20">
        <v>1052.5</v>
      </c>
      <c r="Y61" s="15">
        <f t="shared" si="7"/>
        <v>72.27</v>
      </c>
      <c r="Z61" s="16">
        <v>14</v>
      </c>
      <c r="AA61" s="16">
        <v>1012</v>
      </c>
      <c r="AB61" s="15">
        <f t="shared" si="8"/>
        <v>87.12</v>
      </c>
      <c r="AC61" s="17"/>
      <c r="AD61" s="19"/>
      <c r="AE61" s="15">
        <f t="shared" si="9"/>
        <v>103.82</v>
      </c>
      <c r="AF61" s="17"/>
      <c r="AG61" s="17"/>
      <c r="AH61" s="15">
        <f t="shared" si="10"/>
        <v>121.8</v>
      </c>
      <c r="AI61" s="17"/>
      <c r="AJ61" s="18"/>
      <c r="AK61" s="15">
        <f t="shared" si="11"/>
        <v>184.44</v>
      </c>
      <c r="AL61" s="17"/>
      <c r="AM61" s="18"/>
    </row>
    <row r="62" spans="2:39" ht="30" customHeight="1" x14ac:dyDescent="0.3">
      <c r="B62" s="11">
        <v>11.7</v>
      </c>
      <c r="C62" s="12">
        <f t="shared" si="0"/>
        <v>6.55</v>
      </c>
      <c r="D62" s="5">
        <v>152</v>
      </c>
      <c r="E62" s="6">
        <v>996</v>
      </c>
      <c r="F62" s="4">
        <f t="shared" si="1"/>
        <v>11.64</v>
      </c>
      <c r="G62" s="5">
        <v>90</v>
      </c>
      <c r="H62" s="13">
        <v>1048</v>
      </c>
      <c r="I62" s="4">
        <f t="shared" si="2"/>
        <v>18.25</v>
      </c>
      <c r="J62" s="5">
        <v>60</v>
      </c>
      <c r="K62" s="13">
        <v>1095</v>
      </c>
      <c r="L62" s="32">
        <f t="shared" si="3"/>
        <v>26.33</v>
      </c>
      <c r="M62" s="33">
        <v>37</v>
      </c>
      <c r="N62" s="34">
        <v>974</v>
      </c>
      <c r="O62" s="32">
        <f t="shared" si="4"/>
        <v>35.57</v>
      </c>
      <c r="P62" s="33">
        <v>27</v>
      </c>
      <c r="Q62" s="34">
        <v>960</v>
      </c>
      <c r="R62" s="32">
        <f t="shared" si="5"/>
        <v>46.57</v>
      </c>
      <c r="S62" s="33">
        <v>21</v>
      </c>
      <c r="T62" s="34">
        <v>978</v>
      </c>
      <c r="U62" s="14"/>
      <c r="V62" s="15">
        <f t="shared" si="6"/>
        <v>58.97</v>
      </c>
      <c r="W62" s="16">
        <v>36</v>
      </c>
      <c r="X62" s="20">
        <v>1061.5</v>
      </c>
      <c r="Y62" s="15">
        <f t="shared" si="7"/>
        <v>72.89</v>
      </c>
      <c r="Z62" s="16">
        <v>14</v>
      </c>
      <c r="AA62" s="16">
        <v>1020</v>
      </c>
      <c r="AB62" s="15">
        <f t="shared" si="8"/>
        <v>87.87</v>
      </c>
      <c r="AC62" s="17"/>
      <c r="AD62" s="19"/>
      <c r="AE62" s="15">
        <f t="shared" si="9"/>
        <v>104.72</v>
      </c>
      <c r="AF62" s="17"/>
      <c r="AG62" s="17"/>
      <c r="AH62" s="15">
        <f t="shared" si="10"/>
        <v>122.85</v>
      </c>
      <c r="AI62" s="17"/>
      <c r="AJ62" s="18"/>
      <c r="AK62" s="15">
        <f t="shared" si="11"/>
        <v>186.03</v>
      </c>
      <c r="AL62" s="17"/>
      <c r="AM62" s="18"/>
    </row>
    <row r="63" spans="2:39" ht="30" customHeight="1" x14ac:dyDescent="0.3">
      <c r="B63" s="11">
        <v>11.8</v>
      </c>
      <c r="C63" s="12">
        <f t="shared" si="0"/>
        <v>6.61</v>
      </c>
      <c r="D63" s="5">
        <v>152</v>
      </c>
      <c r="E63" s="6">
        <v>1005</v>
      </c>
      <c r="F63" s="4">
        <f t="shared" si="1"/>
        <v>11.74</v>
      </c>
      <c r="G63" s="5">
        <v>84</v>
      </c>
      <c r="H63" s="13">
        <v>986</v>
      </c>
      <c r="I63" s="4">
        <f t="shared" si="2"/>
        <v>18.41</v>
      </c>
      <c r="J63" s="5">
        <v>60</v>
      </c>
      <c r="K63" s="13">
        <v>1105</v>
      </c>
      <c r="L63" s="32">
        <f t="shared" si="3"/>
        <v>26.55</v>
      </c>
      <c r="M63" s="33">
        <v>37</v>
      </c>
      <c r="N63" s="34">
        <v>982</v>
      </c>
      <c r="O63" s="32">
        <f t="shared" si="4"/>
        <v>35.869999999999997</v>
      </c>
      <c r="P63" s="33">
        <v>27</v>
      </c>
      <c r="Q63" s="34">
        <v>968</v>
      </c>
      <c r="R63" s="32">
        <f t="shared" si="5"/>
        <v>46.96</v>
      </c>
      <c r="S63" s="33">
        <v>21</v>
      </c>
      <c r="T63" s="34">
        <v>986</v>
      </c>
      <c r="U63" s="14"/>
      <c r="V63" s="15">
        <f t="shared" si="6"/>
        <v>59.47</v>
      </c>
      <c r="W63" s="16">
        <v>36</v>
      </c>
      <c r="X63" s="20">
        <v>1070.5</v>
      </c>
      <c r="Y63" s="15">
        <f t="shared" si="7"/>
        <v>73.510000000000005</v>
      </c>
      <c r="Z63" s="16">
        <v>14</v>
      </c>
      <c r="AA63" s="16">
        <v>1029</v>
      </c>
      <c r="AB63" s="15">
        <f t="shared" si="8"/>
        <v>88.62</v>
      </c>
      <c r="AC63" s="17"/>
      <c r="AD63" s="19"/>
      <c r="AE63" s="15">
        <f t="shared" si="9"/>
        <v>105.61</v>
      </c>
      <c r="AF63" s="17"/>
      <c r="AG63" s="17"/>
      <c r="AH63" s="15">
        <f t="shared" si="10"/>
        <v>123.9</v>
      </c>
      <c r="AI63" s="17"/>
      <c r="AJ63" s="18"/>
      <c r="AK63" s="15">
        <f t="shared" si="11"/>
        <v>187.62</v>
      </c>
      <c r="AL63" s="17"/>
      <c r="AM63" s="18"/>
    </row>
    <row r="64" spans="2:39" ht="30" customHeight="1" x14ac:dyDescent="0.3">
      <c r="B64" s="11">
        <v>11.9</v>
      </c>
      <c r="C64" s="12">
        <f t="shared" si="0"/>
        <v>6.66</v>
      </c>
      <c r="D64" s="5">
        <v>152</v>
      </c>
      <c r="E64" s="6">
        <v>1012</v>
      </c>
      <c r="F64" s="4">
        <f t="shared" si="1"/>
        <v>11.84</v>
      </c>
      <c r="G64" s="5">
        <v>84</v>
      </c>
      <c r="H64" s="13">
        <v>995</v>
      </c>
      <c r="I64" s="4">
        <f t="shared" si="2"/>
        <v>18.559999999999999</v>
      </c>
      <c r="J64" s="5">
        <v>60</v>
      </c>
      <c r="K64" s="13">
        <v>1114</v>
      </c>
      <c r="L64" s="32">
        <f t="shared" si="3"/>
        <v>26.78</v>
      </c>
      <c r="M64" s="33">
        <v>37</v>
      </c>
      <c r="N64" s="34">
        <v>991</v>
      </c>
      <c r="O64" s="32">
        <f t="shared" si="4"/>
        <v>36.18</v>
      </c>
      <c r="P64" s="33">
        <v>27</v>
      </c>
      <c r="Q64" s="34">
        <v>977</v>
      </c>
      <c r="R64" s="32">
        <f t="shared" si="5"/>
        <v>47.36</v>
      </c>
      <c r="S64" s="33">
        <v>21</v>
      </c>
      <c r="T64" s="34">
        <v>995</v>
      </c>
      <c r="U64" s="14"/>
      <c r="V64" s="15">
        <f t="shared" si="6"/>
        <v>59.98</v>
      </c>
      <c r="W64" s="16">
        <v>36</v>
      </c>
      <c r="X64" s="20">
        <v>1079.5</v>
      </c>
      <c r="Y64" s="15">
        <f t="shared" si="7"/>
        <v>74.14</v>
      </c>
      <c r="Z64" s="16">
        <v>14</v>
      </c>
      <c r="AA64" s="16">
        <v>1038</v>
      </c>
      <c r="AB64" s="15">
        <f t="shared" si="8"/>
        <v>89.37</v>
      </c>
      <c r="AC64" s="17"/>
      <c r="AD64" s="19"/>
      <c r="AE64" s="15">
        <f t="shared" si="9"/>
        <v>106.51</v>
      </c>
      <c r="AF64" s="17"/>
      <c r="AG64" s="17"/>
      <c r="AH64" s="15">
        <f t="shared" si="10"/>
        <v>124.95</v>
      </c>
      <c r="AI64" s="17"/>
      <c r="AJ64" s="18"/>
      <c r="AK64" s="15">
        <f t="shared" si="11"/>
        <v>189.21</v>
      </c>
      <c r="AL64" s="17"/>
      <c r="AM64" s="18"/>
    </row>
    <row r="65" spans="2:39" ht="30" customHeight="1" x14ac:dyDescent="0.3">
      <c r="B65" s="11">
        <v>12</v>
      </c>
      <c r="C65" s="12">
        <f t="shared" si="0"/>
        <v>6.72</v>
      </c>
      <c r="D65" s="5">
        <v>150</v>
      </c>
      <c r="E65" s="6">
        <v>1008</v>
      </c>
      <c r="F65" s="32">
        <f t="shared" si="1"/>
        <v>11.94</v>
      </c>
      <c r="G65" s="33">
        <v>80</v>
      </c>
      <c r="H65" s="34">
        <v>995</v>
      </c>
      <c r="I65" s="4">
        <f t="shared" si="2"/>
        <v>18.72</v>
      </c>
      <c r="J65" s="5">
        <v>60</v>
      </c>
      <c r="K65" s="13">
        <v>1123</v>
      </c>
      <c r="L65" s="32">
        <f t="shared" si="3"/>
        <v>27</v>
      </c>
      <c r="M65" s="33">
        <v>37</v>
      </c>
      <c r="N65" s="34">
        <v>999</v>
      </c>
      <c r="O65" s="32">
        <f t="shared" si="4"/>
        <v>36.479999999999997</v>
      </c>
      <c r="P65" s="33">
        <v>27</v>
      </c>
      <c r="Q65" s="34">
        <v>985</v>
      </c>
      <c r="R65" s="32">
        <f t="shared" si="5"/>
        <v>47.76</v>
      </c>
      <c r="S65" s="33">
        <v>21</v>
      </c>
      <c r="T65" s="34">
        <v>1003</v>
      </c>
      <c r="U65" s="14"/>
      <c r="V65" s="15">
        <f t="shared" si="6"/>
        <v>60.48</v>
      </c>
      <c r="W65" s="16">
        <v>34</v>
      </c>
      <c r="X65" s="16">
        <v>1028</v>
      </c>
      <c r="Y65" s="15">
        <f t="shared" si="7"/>
        <v>74.760000000000005</v>
      </c>
      <c r="Z65" s="16">
        <v>13</v>
      </c>
      <c r="AA65" s="16">
        <v>972</v>
      </c>
      <c r="AB65" s="15">
        <f t="shared" si="8"/>
        <v>90.12</v>
      </c>
      <c r="AC65" s="17">
        <v>11</v>
      </c>
      <c r="AD65" s="18">
        <v>991</v>
      </c>
      <c r="AE65" s="15">
        <f t="shared" si="9"/>
        <v>107.4</v>
      </c>
      <c r="AF65" s="35">
        <v>9</v>
      </c>
      <c r="AG65" s="35">
        <v>967</v>
      </c>
      <c r="AH65" s="15">
        <f t="shared" si="10"/>
        <v>126</v>
      </c>
      <c r="AI65" s="17">
        <v>8</v>
      </c>
      <c r="AJ65" s="18">
        <v>1008</v>
      </c>
      <c r="AK65" s="15">
        <f t="shared" si="11"/>
        <v>190.8</v>
      </c>
      <c r="AL65" s="17">
        <v>5</v>
      </c>
      <c r="AM65" s="18">
        <v>954</v>
      </c>
    </row>
    <row r="66" spans="2:39" x14ac:dyDescent="0.3">
      <c r="B66" s="36" t="s">
        <v>16</v>
      </c>
    </row>
  </sheetData>
  <mergeCells count="13">
    <mergeCell ref="AK3:AM3"/>
    <mergeCell ref="R3:T3"/>
    <mergeCell ref="V3:X3"/>
    <mergeCell ref="Y3:AA3"/>
    <mergeCell ref="AB3:AD3"/>
    <mergeCell ref="AE3:AG3"/>
    <mergeCell ref="AH3:AJ3"/>
    <mergeCell ref="B3:B4"/>
    <mergeCell ref="C3:E3"/>
    <mergeCell ref="F3:H3"/>
    <mergeCell ref="I3:K3"/>
    <mergeCell ref="L3:N3"/>
    <mergeCell ref="O3:Q3"/>
  </mergeCells>
  <phoneticPr fontId="3" type="noConversion"/>
  <pageMargins left="0.70866141732283472" right="0.70866141732283472" top="0.74803149606299213" bottom="0.38" header="0.31496062992125984" footer="0.18"/>
  <pageSetup paperSize="140" scale="37" fitToWidth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2025-07-14T12:33:51Z</dcterms:created>
  <dcterms:modified xsi:type="dcterms:W3CDTF">2025-07-14T12:34:41Z</dcterms:modified>
</cp:coreProperties>
</file>